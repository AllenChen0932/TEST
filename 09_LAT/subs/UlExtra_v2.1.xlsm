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700700\Desktop\py\09_LAT\subs\"/>
    </mc:Choice>
  </mc:AlternateContent>
  <bookViews>
    <workbookView xWindow="0" yWindow="0" windowWidth="15900" windowHeight="11970" tabRatio="723" activeTab="3"/>
  </bookViews>
  <sheets>
    <sheet name="Raw Data" sheetId="21" r:id="rId1"/>
    <sheet name="Conv" sheetId="33" r:id="rId2"/>
    <sheet name="Wind" sheetId="25" r:id="rId3"/>
    <sheet name="Extrapolation" sheetId="39" r:id="rId4"/>
    <sheet name="Log" sheetId="37" r:id="rId5"/>
  </sheets>
  <definedNames>
    <definedName name="_xlnm._FilterDatabase" localSheetId="1" hidden="1">Conv!$Q$1:$S$197</definedName>
    <definedName name="all_1">Extrapolation!$B$12</definedName>
    <definedName name="all_2">Extrapolation!$C$12</definedName>
    <definedName name="alpha">Conv!$AN$17</definedName>
    <definedName name="bin">Wind!$C$3</definedName>
    <definedName name="bout">Wind!$C$4</definedName>
    <definedName name="conv_1">Conv!$Q$7</definedName>
    <definedName name="Dx_thre">Extrapolation!$E$7</definedName>
    <definedName name="m">Conv!$AN$16</definedName>
    <definedName name="max3_1">Conv!$B$6</definedName>
    <definedName name="Mx_thre">Extrapolation!$C$7</definedName>
    <definedName name="My_thre">Extrapolation!$D$7</definedName>
    <definedName name="p">Conv!$AN$18</definedName>
    <definedName name="p_3">Conv!$Q$62</definedName>
    <definedName name="para_1">Conv!$AG$16</definedName>
    <definedName name="pro_1">Wind!$B$12</definedName>
    <definedName name="pro_2">Wind!$C$12</definedName>
    <definedName name="rank_1">Conv!$G$6</definedName>
    <definedName name="rawdata_0">'Raw Data'!$B$2</definedName>
    <definedName name="rawdata_1">'Raw Data'!$C$2</definedName>
    <definedName name="result_1">Extrapolation!$L$4</definedName>
    <definedName name="rxy_1">Extrapolation!$C$3</definedName>
    <definedName name="safety">Extrapolation!$K$3</definedName>
    <definedName name="set_thre">Conv!$E$2</definedName>
    <definedName name="solver_eng" localSheetId="3" hidden="1">3</definedName>
    <definedName name="solver_neg" localSheetId="3" hidden="1">1</definedName>
    <definedName name="solver_num" localSheetId="3" hidden="1">0</definedName>
    <definedName name="solver_typ" localSheetId="3" hidden="1">1</definedName>
    <definedName name="solver_val" localSheetId="3" hidden="1">0</definedName>
    <definedName name="solver_ver" localSheetId="3" hidden="1">3</definedName>
    <definedName name="threthod_1">Conv!$V$7</definedName>
    <definedName name="usk_1">Extrapolation!$C$4</definedName>
    <definedName name="vave">Wind!$C$2</definedName>
    <definedName name="vsp">Wind!$C$5</definedName>
    <definedName name="years">Extrapolation!$G$3</definedName>
  </definedNames>
  <calcPr calcId="162913"/>
</workbook>
</file>

<file path=xl/calcChain.xml><?xml version="1.0" encoding="utf-8"?>
<calcChain xmlns="http://schemas.openxmlformats.org/spreadsheetml/2006/main">
  <c r="N12" i="39" l="1"/>
  <c r="L7" i="39" l="1"/>
  <c r="M7" i="39"/>
  <c r="N7" i="39"/>
  <c r="AN18" i="33"/>
  <c r="AM32" i="33" s="1"/>
  <c r="AN17" i="33"/>
  <c r="AM22" i="33" l="1"/>
  <c r="AN22" i="33" s="1"/>
  <c r="AM33" i="33"/>
  <c r="AM34" i="33"/>
  <c r="AM48" i="33"/>
  <c r="AM36" i="33"/>
  <c r="AM25" i="33"/>
  <c r="AM40" i="33"/>
  <c r="AM24" i="33"/>
  <c r="AM26" i="33"/>
  <c r="AM41" i="33"/>
  <c r="AM27" i="33"/>
  <c r="AM42" i="33"/>
  <c r="AM28" i="33"/>
  <c r="AM44" i="33"/>
  <c r="AM56" i="33"/>
  <c r="AM64" i="33"/>
  <c r="AM72" i="33"/>
  <c r="AM80" i="33"/>
  <c r="AM88" i="33"/>
  <c r="AM96" i="33"/>
  <c r="AM104" i="33"/>
  <c r="AM112" i="33"/>
  <c r="AM120" i="33"/>
  <c r="AM128" i="33"/>
  <c r="AM136" i="33"/>
  <c r="AM49" i="33"/>
  <c r="AM57" i="33"/>
  <c r="AM65" i="33"/>
  <c r="AM73" i="33"/>
  <c r="AM81" i="33"/>
  <c r="AM89" i="33"/>
  <c r="AM97" i="33"/>
  <c r="AM105" i="33"/>
  <c r="AM113" i="33"/>
  <c r="AM121" i="33"/>
  <c r="AM129" i="33"/>
  <c r="AM137" i="33"/>
  <c r="AM50" i="33"/>
  <c r="AM58" i="33"/>
  <c r="AM66" i="33"/>
  <c r="AM74" i="33"/>
  <c r="AM82" i="33"/>
  <c r="AM90" i="33"/>
  <c r="AM98" i="33"/>
  <c r="AM106" i="33"/>
  <c r="AM114" i="33"/>
  <c r="AM122" i="33"/>
  <c r="AM130" i="33"/>
  <c r="AM138" i="33"/>
  <c r="AM35" i="33"/>
  <c r="AM43" i="33"/>
  <c r="AM51" i="33"/>
  <c r="AM59" i="33"/>
  <c r="AM67" i="33"/>
  <c r="AM75" i="33"/>
  <c r="AM83" i="33"/>
  <c r="AM91" i="33"/>
  <c r="AM99" i="33"/>
  <c r="AM107" i="33"/>
  <c r="AM115" i="33"/>
  <c r="AM123" i="33"/>
  <c r="AM131" i="33"/>
  <c r="AM139" i="33"/>
  <c r="AM52" i="33"/>
  <c r="AM60" i="33"/>
  <c r="AM68" i="33"/>
  <c r="AM76" i="33"/>
  <c r="AM84" i="33"/>
  <c r="AM92" i="33"/>
  <c r="AM100" i="33"/>
  <c r="AM108" i="33"/>
  <c r="AM116" i="33"/>
  <c r="AM124" i="33"/>
  <c r="AM132" i="33"/>
  <c r="AM140" i="33"/>
  <c r="AM29" i="33"/>
  <c r="AM37" i="33"/>
  <c r="AM45" i="33"/>
  <c r="AM53" i="33"/>
  <c r="AM61" i="33"/>
  <c r="AM69" i="33"/>
  <c r="AM77" i="33"/>
  <c r="AM85" i="33"/>
  <c r="AM93" i="33"/>
  <c r="AM101" i="33"/>
  <c r="AM109" i="33"/>
  <c r="AM117" i="33"/>
  <c r="AM125" i="33"/>
  <c r="AM133" i="33"/>
  <c r="AM141" i="33"/>
  <c r="AM30" i="33"/>
  <c r="AM38" i="33"/>
  <c r="AM46" i="33"/>
  <c r="AM54" i="33"/>
  <c r="AM62" i="33"/>
  <c r="AM70" i="33"/>
  <c r="AM78" i="33"/>
  <c r="AM86" i="33"/>
  <c r="AM94" i="33"/>
  <c r="AM102" i="33"/>
  <c r="AM110" i="33"/>
  <c r="AM118" i="33"/>
  <c r="AM126" i="33"/>
  <c r="AM134" i="33"/>
  <c r="AM23" i="33"/>
  <c r="AM31" i="33"/>
  <c r="AM39" i="33"/>
  <c r="AM47" i="33"/>
  <c r="AM55" i="33"/>
  <c r="AM63" i="33"/>
  <c r="AM71" i="33"/>
  <c r="AM79" i="33"/>
  <c r="AM87" i="33"/>
  <c r="AM95" i="33"/>
  <c r="AM103" i="33"/>
  <c r="AM111" i="33"/>
  <c r="AM119" i="33"/>
  <c r="AM127" i="33"/>
  <c r="AM135" i="33"/>
  <c r="AN55" i="33" l="1"/>
  <c r="AN134" i="33"/>
  <c r="AN84" i="33"/>
  <c r="AN28" i="33"/>
  <c r="AN130" i="33"/>
  <c r="AN85" i="33"/>
  <c r="AN35" i="33"/>
  <c r="AN126" i="33"/>
  <c r="AN108" i="33"/>
  <c r="AN83" i="33"/>
  <c r="AN50" i="33"/>
  <c r="AN73" i="33"/>
  <c r="AN120" i="33"/>
  <c r="AN56" i="33"/>
  <c r="AN111" i="33"/>
  <c r="AN47" i="33"/>
  <c r="AN86" i="33"/>
  <c r="AN26" i="33"/>
  <c r="AN124" i="33"/>
  <c r="AN98" i="33"/>
  <c r="AN37" i="33"/>
  <c r="AN122" i="33"/>
  <c r="AN78" i="33"/>
  <c r="AN76" i="33"/>
  <c r="AN67" i="33"/>
  <c r="AN33" i="33"/>
  <c r="AN65" i="33"/>
  <c r="AN112" i="33"/>
  <c r="AN48" i="33"/>
  <c r="AN103" i="33"/>
  <c r="AN39" i="33"/>
  <c r="AN46" i="33"/>
  <c r="AN118" i="33"/>
  <c r="AN92" i="33"/>
  <c r="AN58" i="33"/>
  <c r="AN116" i="33"/>
  <c r="AN90" i="33"/>
  <c r="AN38" i="33"/>
  <c r="AN60" i="33"/>
  <c r="AN51" i="33"/>
  <c r="AN137" i="33"/>
  <c r="AN57" i="33"/>
  <c r="AN104" i="33"/>
  <c r="AN40" i="33"/>
  <c r="AN95" i="33"/>
  <c r="AN30" i="33"/>
  <c r="AN133" i="33"/>
  <c r="AN54" i="33"/>
  <c r="AN44" i="33"/>
  <c r="AN25" i="33"/>
  <c r="AO25" i="33" s="1"/>
  <c r="AN68" i="33"/>
  <c r="AN74" i="33"/>
  <c r="AN125" i="33"/>
  <c r="AN52" i="33"/>
  <c r="AN138" i="33"/>
  <c r="AN129" i="33"/>
  <c r="AN49" i="33"/>
  <c r="AN96" i="33"/>
  <c r="AN31" i="33"/>
  <c r="AN87" i="33"/>
  <c r="AN34" i="33"/>
  <c r="AN94" i="33"/>
  <c r="AN109" i="33"/>
  <c r="AN141" i="33"/>
  <c r="AN131" i="33"/>
  <c r="AN36" i="33"/>
  <c r="AN42" i="33"/>
  <c r="AN101" i="33"/>
  <c r="AN27" i="33"/>
  <c r="AN114" i="33"/>
  <c r="AN113" i="33"/>
  <c r="AN41" i="33"/>
  <c r="AN88" i="33"/>
  <c r="AN23" i="33"/>
  <c r="AO22" i="33" s="1"/>
  <c r="AN79" i="33"/>
  <c r="AN110" i="33"/>
  <c r="AN77" i="33"/>
  <c r="AN117" i="33"/>
  <c r="AN107" i="33"/>
  <c r="AN102" i="33"/>
  <c r="AN123" i="33"/>
  <c r="AN121" i="33"/>
  <c r="AN69" i="33"/>
  <c r="AN139" i="33"/>
  <c r="AN106" i="33"/>
  <c r="AN105" i="33"/>
  <c r="AN32" i="33"/>
  <c r="AN80" i="33"/>
  <c r="AN135" i="33"/>
  <c r="AN71" i="33"/>
  <c r="AN62" i="33"/>
  <c r="AN53" i="33"/>
  <c r="AN93" i="33"/>
  <c r="AN75" i="33"/>
  <c r="AN70" i="33"/>
  <c r="AN91" i="33"/>
  <c r="AN97" i="33"/>
  <c r="AN45" i="33"/>
  <c r="AN115" i="33"/>
  <c r="AN82" i="33"/>
  <c r="AN89" i="33"/>
  <c r="AN136" i="33"/>
  <c r="AN72" i="33"/>
  <c r="AN127" i="33"/>
  <c r="AN63" i="33"/>
  <c r="AN100" i="33"/>
  <c r="AN132" i="33"/>
  <c r="AN61" i="33"/>
  <c r="AN43" i="33"/>
  <c r="AN29" i="33"/>
  <c r="AN59" i="33"/>
  <c r="AN24" i="33"/>
  <c r="AN140" i="33"/>
  <c r="AN99" i="33"/>
  <c r="AN66" i="33"/>
  <c r="AN81" i="33"/>
  <c r="AN128" i="33"/>
  <c r="AN64" i="33"/>
  <c r="AN119" i="33"/>
  <c r="AO32" i="33" l="1"/>
  <c r="AO24" i="33"/>
  <c r="AP34" i="33"/>
  <c r="AO60" i="33"/>
  <c r="AO36" i="33"/>
  <c r="AP22" i="33"/>
  <c r="AO26" i="33"/>
  <c r="AO37" i="33"/>
  <c r="AP35" i="33"/>
  <c r="AP47" i="33"/>
  <c r="AP38" i="33"/>
  <c r="AO34" i="33"/>
  <c r="AP36" i="33"/>
  <c r="AO39" i="33"/>
  <c r="AO28" i="33"/>
  <c r="AP39" i="33"/>
  <c r="AP27" i="33"/>
  <c r="AO31" i="33"/>
  <c r="AO57" i="33"/>
  <c r="AP56" i="33"/>
  <c r="AO33" i="33"/>
  <c r="AO45" i="33"/>
  <c r="AP25" i="33"/>
  <c r="AO35" i="33"/>
  <c r="AP57" i="33"/>
  <c r="AP62" i="33"/>
  <c r="AO55" i="33"/>
  <c r="AP58" i="33"/>
  <c r="AO30" i="33"/>
  <c r="AO56" i="33"/>
  <c r="AO27" i="33"/>
  <c r="AP26" i="33"/>
  <c r="AP33" i="33"/>
  <c r="AP48" i="33"/>
  <c r="AP55" i="33"/>
  <c r="AP60" i="33"/>
  <c r="AP37" i="33"/>
  <c r="AO38" i="33"/>
  <c r="AP40" i="33"/>
  <c r="AO54" i="33"/>
  <c r="AP50" i="33"/>
  <c r="AP61" i="33"/>
  <c r="AP31" i="33"/>
  <c r="AO52" i="33"/>
  <c r="AP42" i="33"/>
  <c r="AO61" i="33"/>
  <c r="AP59" i="33"/>
  <c r="AP28" i="33"/>
  <c r="AP30" i="33"/>
  <c r="AO59" i="33"/>
  <c r="AP32" i="33"/>
  <c r="AO42" i="33"/>
  <c r="AP45" i="33"/>
  <c r="AP54" i="33"/>
  <c r="AO58" i="33"/>
  <c r="AO48" i="33"/>
  <c r="AO51" i="33"/>
  <c r="AO40" i="33"/>
  <c r="AO41" i="33"/>
  <c r="AP51" i="33"/>
  <c r="AO47" i="33"/>
  <c r="AO50" i="33"/>
  <c r="AO29" i="33"/>
  <c r="AP41" i="33"/>
  <c r="AO53" i="33"/>
  <c r="AP52" i="33"/>
  <c r="AP29" i="33"/>
  <c r="AO46" i="33"/>
  <c r="AP53" i="33"/>
  <c r="AP46" i="33"/>
  <c r="AP43" i="33"/>
  <c r="AO63" i="33"/>
  <c r="AO49" i="33"/>
  <c r="AP49" i="33"/>
  <c r="AO62" i="33"/>
  <c r="AP44" i="33"/>
  <c r="AP63" i="33"/>
  <c r="AO43" i="33"/>
  <c r="AO44" i="33"/>
  <c r="AP24" i="33"/>
  <c r="AP23" i="33"/>
  <c r="AO23" i="33"/>
  <c r="O15" i="39"/>
  <c r="N15" i="39" l="1"/>
  <c r="AP139" i="33" l="1"/>
  <c r="AO139" i="33"/>
  <c r="AP68" i="33"/>
  <c r="AO68" i="33"/>
  <c r="AO107" i="33"/>
  <c r="AP107" i="33"/>
  <c r="AP134" i="33"/>
  <c r="AO134" i="33"/>
  <c r="AO98" i="33"/>
  <c r="AP98" i="33"/>
  <c r="AP101" i="33"/>
  <c r="AO101" i="33"/>
  <c r="AP73" i="33"/>
  <c r="AO73" i="33"/>
  <c r="AP70" i="33"/>
  <c r="AO70" i="33"/>
  <c r="AP64" i="33"/>
  <c r="AP65" i="33"/>
  <c r="AO65" i="33"/>
  <c r="AO64" i="33"/>
  <c r="AP99" i="33"/>
  <c r="AO99" i="33"/>
  <c r="AO102" i="33"/>
  <c r="AP102" i="33"/>
  <c r="AP66" i="33"/>
  <c r="AO66" i="33"/>
  <c r="AO74" i="33"/>
  <c r="AP74" i="33"/>
  <c r="AP119" i="33"/>
  <c r="AO119" i="33"/>
  <c r="AP135" i="33"/>
  <c r="AO135" i="33"/>
  <c r="AP79" i="33"/>
  <c r="AO79" i="33"/>
  <c r="AP80" i="33"/>
  <c r="AO80" i="33"/>
  <c r="AO105" i="33"/>
  <c r="AP105" i="33"/>
  <c r="AP127" i="33"/>
  <c r="AO127" i="33"/>
  <c r="AP84" i="33"/>
  <c r="AO84" i="33"/>
  <c r="AP94" i="33"/>
  <c r="AO94" i="33"/>
  <c r="AP129" i="33"/>
  <c r="AO129" i="33"/>
  <c r="AP115" i="33"/>
  <c r="AO115" i="33"/>
  <c r="AP87" i="33"/>
  <c r="AO87" i="33"/>
  <c r="AP112" i="33"/>
  <c r="AO112" i="33"/>
  <c r="AP86" i="33"/>
  <c r="AO86" i="33"/>
  <c r="AO131" i="33"/>
  <c r="AP131" i="33"/>
  <c r="AP141" i="33"/>
  <c r="AO141" i="33"/>
  <c r="AP120" i="33"/>
  <c r="AO120" i="33"/>
  <c r="AP136" i="33"/>
  <c r="AO136" i="33"/>
  <c r="AP77" i="33"/>
  <c r="AO77" i="33"/>
  <c r="AO69" i="33"/>
  <c r="AP69" i="33"/>
  <c r="AP110" i="33"/>
  <c r="AO110" i="33"/>
  <c r="AP82" i="33"/>
  <c r="AO82" i="33"/>
  <c r="AP114" i="33"/>
  <c r="AO114" i="33"/>
  <c r="AP132" i="33"/>
  <c r="AO132" i="33"/>
  <c r="AP96" i="33"/>
  <c r="AO96" i="33"/>
  <c r="AP104" i="33"/>
  <c r="AO104" i="33"/>
  <c r="AP106" i="33"/>
  <c r="AO106" i="33"/>
  <c r="AP128" i="33"/>
  <c r="AO128" i="33"/>
  <c r="AP89" i="33"/>
  <c r="AO89" i="33"/>
  <c r="AP93" i="33"/>
  <c r="AO93" i="33"/>
  <c r="AP118" i="33"/>
  <c r="AO118" i="33"/>
  <c r="AO121" i="33"/>
  <c r="AP121" i="33"/>
  <c r="AP130" i="33"/>
  <c r="AO130" i="33"/>
  <c r="AP133" i="33"/>
  <c r="AO133" i="33"/>
  <c r="AO108" i="33"/>
  <c r="AP108" i="33"/>
  <c r="AO126" i="33"/>
  <c r="AP126" i="33"/>
  <c r="AO72" i="33"/>
  <c r="AP72" i="33"/>
  <c r="AP116" i="33"/>
  <c r="AO116" i="33"/>
  <c r="AO123" i="33"/>
  <c r="AP123" i="33"/>
  <c r="AO124" i="33"/>
  <c r="AP124" i="33"/>
  <c r="AP92" i="33"/>
  <c r="AO92" i="33"/>
  <c r="AO95" i="33"/>
  <c r="AP95" i="33"/>
  <c r="AP97" i="33"/>
  <c r="AO97" i="33"/>
  <c r="AP91" i="33"/>
  <c r="AO91" i="33"/>
  <c r="AO88" i="33"/>
  <c r="AP88" i="33"/>
  <c r="AP78" i="33"/>
  <c r="AO78" i="33"/>
  <c r="AP67" i="33"/>
  <c r="AO67" i="33"/>
  <c r="AP75" i="33"/>
  <c r="AO75" i="33"/>
  <c r="AP83" i="33"/>
  <c r="AO83" i="33"/>
  <c r="AO100" i="33"/>
  <c r="AP100" i="33"/>
  <c r="AP137" i="33"/>
  <c r="AO137" i="33"/>
  <c r="AO109" i="33"/>
  <c r="AP109" i="33"/>
  <c r="AP103" i="33"/>
  <c r="AO103" i="33"/>
  <c r="AP122" i="33"/>
  <c r="AP113" i="33"/>
  <c r="AO113" i="33"/>
  <c r="AO81" i="33"/>
  <c r="AP81" i="33"/>
  <c r="AP90" i="33"/>
  <c r="AO90" i="33"/>
  <c r="AP140" i="33"/>
  <c r="AO140" i="33"/>
  <c r="AO117" i="33"/>
  <c r="AP117" i="33"/>
  <c r="AP111" i="33"/>
  <c r="AO111" i="33"/>
  <c r="AP71" i="33"/>
  <c r="AO71" i="33"/>
  <c r="AP138" i="33"/>
  <c r="AO138" i="33"/>
  <c r="AP85" i="33"/>
  <c r="AO85" i="33"/>
  <c r="AO76" i="33"/>
  <c r="AP76" i="33"/>
  <c r="AO125" i="33"/>
  <c r="AP125" i="33"/>
  <c r="AO122" i="33"/>
</calcChain>
</file>

<file path=xl/comments1.xml><?xml version="1.0" encoding="utf-8"?>
<comments xmlns="http://schemas.openxmlformats.org/spreadsheetml/2006/main">
  <authors>
    <author>唐荆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唐荆:</t>
        </r>
        <r>
          <rPr>
            <sz val="9"/>
            <color indexed="81"/>
            <rFont val="宋体"/>
            <family val="3"/>
            <charset val="134"/>
          </rPr>
          <t xml:space="preserve">
The correl between(Pro,Fitted),只与U值有关</t>
        </r>
      </text>
    </comment>
  </commentList>
</comments>
</file>

<file path=xl/sharedStrings.xml><?xml version="1.0" encoding="utf-8"?>
<sst xmlns="http://schemas.openxmlformats.org/spreadsheetml/2006/main" count="135" uniqueCount="121">
  <si>
    <t>Vave</t>
    <phoneticPr fontId="19" type="noConversion"/>
  </si>
  <si>
    <t>Dx(m)</t>
    <phoneticPr fontId="1" type="noConversion"/>
  </si>
  <si>
    <t>No.</t>
    <phoneticPr fontId="1" type="noConversion"/>
  </si>
  <si>
    <t>WS</t>
    <phoneticPr fontId="1" type="noConversion"/>
  </si>
  <si>
    <t>WS</t>
    <phoneticPr fontId="1" type="noConversion"/>
  </si>
  <si>
    <t>B</t>
    <phoneticPr fontId="1" type="noConversion"/>
  </si>
  <si>
    <t>A</t>
    <phoneticPr fontId="1" type="noConversion"/>
  </si>
  <si>
    <t>m</t>
    <phoneticPr fontId="1" type="noConversion"/>
  </si>
  <si>
    <t>alpha</t>
    <phoneticPr fontId="1" type="noConversion"/>
  </si>
  <si>
    <t>p</t>
    <phoneticPr fontId="1" type="noConversion"/>
  </si>
  <si>
    <t>f(k*) &lt;= 0.05</t>
    <phoneticPr fontId="1" type="noConversion"/>
  </si>
  <si>
    <t>f(l*) &lt;= 0.95</t>
    <phoneticPr fontId="1" type="noConversion"/>
  </si>
  <si>
    <t>k*</t>
    <phoneticPr fontId="1" type="noConversion"/>
  </si>
  <si>
    <t>l*</t>
    <phoneticPr fontId="1" type="noConversion"/>
  </si>
  <si>
    <t>seed_N</t>
    <phoneticPr fontId="1" type="noConversion"/>
  </si>
  <si>
    <t>Paramters needed to establish binomial-based confidence intervals (for alpha=0.95 and p=0.84)</t>
    <phoneticPr fontId="1" type="noConversion"/>
  </si>
  <si>
    <t>Rayleigh and empirical distribution for each wind speed bin</t>
    <phoneticPr fontId="1" type="noConversion"/>
  </si>
  <si>
    <t>WS</t>
    <phoneticPr fontId="1" type="noConversion"/>
  </si>
  <si>
    <t>Mx</t>
    <phoneticPr fontId="1" type="noConversion"/>
  </si>
  <si>
    <t>Dx</t>
    <phoneticPr fontId="1" type="noConversion"/>
  </si>
  <si>
    <t>m is Bernoulli trials</t>
    <phoneticPr fontId="1" type="noConversion"/>
  </si>
  <si>
    <t>A &amp; at k*</t>
    <phoneticPr fontId="1" type="noConversion"/>
  </si>
  <si>
    <t>B &amp; at l*</t>
    <phoneticPr fontId="1" type="noConversion"/>
  </si>
  <si>
    <t>Max of 3 blades</t>
    <phoneticPr fontId="1" type="noConversion"/>
  </si>
  <si>
    <t>Ci</t>
    <phoneticPr fontId="1" type="noConversion"/>
  </si>
  <si>
    <t>Cm</t>
    <phoneticPr fontId="1" type="noConversion"/>
  </si>
  <si>
    <t>Rayleigh/(N+1)</t>
    <phoneticPr fontId="1" type="noConversion"/>
  </si>
  <si>
    <t>2019.10.31</t>
    <phoneticPr fontId="1" type="noConversion"/>
  </si>
  <si>
    <t>唐荆</t>
    <phoneticPr fontId="1" type="noConversion"/>
  </si>
  <si>
    <t>ed02</t>
    <phoneticPr fontId="1" type="noConversion"/>
  </si>
  <si>
    <t>版本</t>
    <phoneticPr fontId="1" type="noConversion"/>
  </si>
  <si>
    <t>时间</t>
    <phoneticPr fontId="1" type="noConversion"/>
  </si>
  <si>
    <t>修改者</t>
    <phoneticPr fontId="1" type="noConversion"/>
  </si>
  <si>
    <t>修改内容</t>
    <phoneticPr fontId="1" type="noConversion"/>
  </si>
  <si>
    <t>唐荆</t>
    <phoneticPr fontId="1" type="noConversion"/>
  </si>
  <si>
    <r>
      <t>Mx</t>
    </r>
    <r>
      <rPr>
        <sz val="10"/>
        <color theme="0" tint="-0.34998626667073579"/>
        <rFont val="宋体"/>
        <family val="2"/>
        <charset val="134"/>
      </rPr>
      <t>（</t>
    </r>
    <r>
      <rPr>
        <sz val="10"/>
        <color theme="0" tint="-0.34998626667073579"/>
        <rFont val="Arial"/>
        <family val="2"/>
      </rPr>
      <t>kNm</t>
    </r>
    <r>
      <rPr>
        <sz val="10"/>
        <color theme="0" tint="-0.34998626667073579"/>
        <rFont val="宋体"/>
        <family val="2"/>
        <charset val="134"/>
      </rPr>
      <t>）</t>
    </r>
  </si>
  <si>
    <t>&lt;0.15</t>
    <phoneticPr fontId="1" type="noConversion"/>
  </si>
  <si>
    <t>My</t>
    <phoneticPr fontId="1" type="noConversion"/>
  </si>
  <si>
    <t>Dx</t>
    <phoneticPr fontId="1" type="noConversion"/>
  </si>
  <si>
    <t>短期载荷分布的收敛性判断</t>
    <phoneticPr fontId="1" type="noConversion"/>
  </si>
  <si>
    <t>U</t>
    <phoneticPr fontId="1" type="noConversion"/>
  </si>
  <si>
    <t>K</t>
    <phoneticPr fontId="1" type="noConversion"/>
  </si>
  <si>
    <t>S</t>
    <phoneticPr fontId="1" type="noConversion"/>
  </si>
  <si>
    <t>R</t>
    <phoneticPr fontId="1" type="noConversion"/>
  </si>
  <si>
    <t>Pro</t>
    <phoneticPr fontId="1" type="noConversion"/>
  </si>
  <si>
    <t>Fitted</t>
    <phoneticPr fontId="1" type="noConversion"/>
  </si>
  <si>
    <t>Mx</t>
    <phoneticPr fontId="1" type="noConversion"/>
  </si>
  <si>
    <t>My</t>
    <phoneticPr fontId="1" type="noConversion"/>
  </si>
  <si>
    <t>Seed_N</t>
    <phoneticPr fontId="1" type="noConversion"/>
  </si>
  <si>
    <t>Wind speed</t>
    <phoneticPr fontId="1" type="noConversion"/>
  </si>
  <si>
    <t>bin_in</t>
    <phoneticPr fontId="1" type="noConversion"/>
  </si>
  <si>
    <t>bin_out</t>
    <phoneticPr fontId="1" type="noConversion"/>
  </si>
  <si>
    <t>Pro_bin</t>
    <phoneticPr fontId="1" type="noConversion"/>
  </si>
  <si>
    <t>years</t>
    <phoneticPr fontId="1" type="noConversion"/>
  </si>
  <si>
    <r>
      <t>My</t>
    </r>
    <r>
      <rPr>
        <sz val="10"/>
        <color theme="0" tint="-0.34998626667073579"/>
        <rFont val="宋体"/>
        <family val="2"/>
        <charset val="134"/>
      </rPr>
      <t>（</t>
    </r>
    <r>
      <rPr>
        <sz val="10"/>
        <color theme="0" tint="-0.34998626667073579"/>
        <rFont val="Arial"/>
        <family val="2"/>
      </rPr>
      <t>kNm</t>
    </r>
    <r>
      <rPr>
        <sz val="10"/>
        <color theme="0" tint="-0.34998626667073579"/>
        <rFont val="宋体"/>
        <family val="2"/>
        <charset val="134"/>
      </rPr>
      <t>）</t>
    </r>
    <phoneticPr fontId="1" type="noConversion"/>
  </si>
  <si>
    <r>
      <t>Dx</t>
    </r>
    <r>
      <rPr>
        <sz val="10"/>
        <color theme="0" tint="-0.34998626667073579"/>
        <rFont val="宋体"/>
        <family val="2"/>
        <charset val="134"/>
      </rPr>
      <t>（</t>
    </r>
    <r>
      <rPr>
        <sz val="10"/>
        <color theme="0" tint="-0.34998626667073579"/>
        <rFont val="Arial"/>
        <family val="2"/>
      </rPr>
      <t>m</t>
    </r>
    <r>
      <rPr>
        <sz val="10"/>
        <color theme="0" tint="-0.34998626667073579"/>
        <rFont val="宋体"/>
        <family val="2"/>
        <charset val="134"/>
      </rPr>
      <t>）</t>
    </r>
    <phoneticPr fontId="1" type="noConversion"/>
  </si>
  <si>
    <r>
      <t>Safety</t>
    </r>
    <r>
      <rPr>
        <i/>
        <sz val="11"/>
        <color theme="1"/>
        <rFont val="Arial"/>
        <family val="2"/>
      </rPr>
      <t xml:space="preserve"> </t>
    </r>
    <r>
      <rPr>
        <i/>
        <sz val="11"/>
        <color theme="1"/>
        <rFont val="Times New Roman"/>
        <family val="1"/>
      </rPr>
      <t>f</t>
    </r>
    <phoneticPr fontId="1" type="noConversion"/>
  </si>
  <si>
    <t>Weibull</t>
    <phoneticPr fontId="1" type="noConversion"/>
  </si>
  <si>
    <t>DLC1.1</t>
    <phoneticPr fontId="1" type="noConversion"/>
  </si>
  <si>
    <t>DLC1.3</t>
    <phoneticPr fontId="1" type="noConversion"/>
  </si>
  <si>
    <t>DLC1.1/DLC1.3</t>
    <phoneticPr fontId="1" type="noConversion"/>
  </si>
  <si>
    <t>Results</t>
    <phoneticPr fontId="1" type="noConversion"/>
  </si>
  <si>
    <t>Mx(kN)</t>
    <phoneticPr fontId="1" type="noConversion"/>
  </si>
  <si>
    <t>My(kN)</t>
    <phoneticPr fontId="1" type="noConversion"/>
  </si>
  <si>
    <t>Dx(m)</t>
    <phoneticPr fontId="1" type="noConversion"/>
  </si>
  <si>
    <t>50year</t>
    <phoneticPr fontId="1" type="noConversion"/>
  </si>
  <si>
    <t>Rank extremes from min to max</t>
    <phoneticPr fontId="1" type="noConversion"/>
  </si>
  <si>
    <r>
      <t>Mx</t>
    </r>
    <r>
      <rPr>
        <sz val="10"/>
        <color theme="0" tint="-0.249977111117893"/>
        <rFont val="宋体"/>
        <family val="2"/>
        <charset val="134"/>
      </rPr>
      <t>（</t>
    </r>
    <r>
      <rPr>
        <sz val="10"/>
        <color theme="0" tint="-0.249977111117893"/>
        <rFont val="Arial"/>
        <family val="2"/>
      </rPr>
      <t>kNm</t>
    </r>
    <r>
      <rPr>
        <sz val="10"/>
        <color theme="0" tint="-0.249977111117893"/>
        <rFont val="宋体"/>
        <family val="2"/>
        <charset val="134"/>
      </rPr>
      <t>）</t>
    </r>
  </si>
  <si>
    <r>
      <t>My</t>
    </r>
    <r>
      <rPr>
        <sz val="10"/>
        <color theme="0" tint="-0.249977111117893"/>
        <rFont val="宋体"/>
        <family val="2"/>
        <charset val="134"/>
      </rPr>
      <t>（</t>
    </r>
    <r>
      <rPr>
        <sz val="10"/>
        <color theme="0" tint="-0.249977111117893"/>
        <rFont val="Arial"/>
        <family val="2"/>
      </rPr>
      <t>kNm</t>
    </r>
    <r>
      <rPr>
        <sz val="10"/>
        <color theme="0" tint="-0.249977111117893"/>
        <rFont val="宋体"/>
        <family val="2"/>
        <charset val="134"/>
      </rPr>
      <t>）</t>
    </r>
    <phoneticPr fontId="1" type="noConversion"/>
  </si>
  <si>
    <r>
      <t>My</t>
    </r>
    <r>
      <rPr>
        <sz val="10"/>
        <color theme="0" tint="-0.249977111117893"/>
        <rFont val="宋体"/>
        <family val="2"/>
        <charset val="134"/>
      </rPr>
      <t>（</t>
    </r>
    <r>
      <rPr>
        <sz val="10"/>
        <color theme="0" tint="-0.249977111117893"/>
        <rFont val="Arial"/>
        <family val="2"/>
      </rPr>
      <t>kNm</t>
    </r>
    <r>
      <rPr>
        <sz val="10"/>
        <color theme="0" tint="-0.249977111117893"/>
        <rFont val="宋体"/>
        <family val="2"/>
        <charset val="134"/>
      </rPr>
      <t>）</t>
    </r>
    <phoneticPr fontId="1" type="noConversion"/>
  </si>
  <si>
    <t>mean</t>
    <phoneticPr fontId="1" type="noConversion"/>
  </si>
  <si>
    <t>max</t>
    <phoneticPr fontId="1" type="noConversion"/>
  </si>
  <si>
    <t>min</t>
    <phoneticPr fontId="1" type="noConversion"/>
  </si>
  <si>
    <t>Mx</t>
    <phoneticPr fontId="1" type="noConversion"/>
  </si>
  <si>
    <t>My</t>
    <phoneticPr fontId="1" type="noConversion"/>
  </si>
  <si>
    <t>Dx</t>
    <phoneticPr fontId="1" type="noConversion"/>
  </si>
  <si>
    <t>Seed_N</t>
    <phoneticPr fontId="1" type="noConversion"/>
  </si>
  <si>
    <t>Xshre</t>
    <phoneticPr fontId="1" type="noConversion"/>
  </si>
  <si>
    <t>Xconvence</t>
    <phoneticPr fontId="1" type="noConversion"/>
  </si>
  <si>
    <t>WS</t>
    <phoneticPr fontId="1" type="noConversion"/>
  </si>
  <si>
    <t>FitStart</t>
    <phoneticPr fontId="1" type="noConversion"/>
  </si>
  <si>
    <r>
      <rPr>
        <b/>
        <sz val="11"/>
        <color theme="3"/>
        <rFont val="宋体"/>
        <family val="3"/>
        <charset val="134"/>
      </rPr>
      <t>是否筛除飘值，是</t>
    </r>
    <r>
      <rPr>
        <b/>
        <sz val="11"/>
        <color theme="3"/>
        <rFont val="Arial"/>
        <family val="2"/>
      </rPr>
      <t xml:space="preserve">:y, </t>
    </r>
    <r>
      <rPr>
        <b/>
        <sz val="11"/>
        <color theme="3"/>
        <rFont val="宋体"/>
        <family val="3"/>
        <charset val="134"/>
      </rPr>
      <t>否</t>
    </r>
    <r>
      <rPr>
        <b/>
        <sz val="11"/>
        <color theme="3"/>
        <rFont val="Arial"/>
        <family val="2"/>
      </rPr>
      <t>:n</t>
    </r>
    <phoneticPr fontId="1" type="noConversion"/>
  </si>
  <si>
    <r>
      <rPr>
        <b/>
        <sz val="11"/>
        <color theme="3"/>
        <rFont val="宋体"/>
        <family val="3"/>
        <charset val="134"/>
      </rPr>
      <t>设定</t>
    </r>
    <r>
      <rPr>
        <b/>
        <sz val="11"/>
        <color theme="3"/>
        <rFont val="Arial"/>
        <family val="2"/>
      </rPr>
      <t>U</t>
    </r>
    <r>
      <rPr>
        <b/>
        <sz val="11"/>
        <color theme="3"/>
        <rFont val="宋体"/>
        <family val="3"/>
        <charset val="134"/>
      </rPr>
      <t>参数</t>
    </r>
    <phoneticPr fontId="1" type="noConversion"/>
  </si>
  <si>
    <t>bin-in</t>
    <phoneticPr fontId="1" type="noConversion"/>
  </si>
  <si>
    <t>bin-out</t>
    <phoneticPr fontId="1" type="noConversion"/>
  </si>
  <si>
    <t>概率计算的bin-in下限</t>
    <phoneticPr fontId="1" type="noConversion"/>
  </si>
  <si>
    <t>概率计算的bin-out上限</t>
    <phoneticPr fontId="1" type="noConversion"/>
  </si>
  <si>
    <t>n</t>
    <phoneticPr fontId="1" type="noConversion"/>
  </si>
  <si>
    <t>设定散点拟合区间</t>
    <phoneticPr fontId="1" type="noConversion"/>
  </si>
  <si>
    <t>Sheet"Raw data"优化输入速度</t>
    <phoneticPr fontId="1" type="noConversion"/>
  </si>
  <si>
    <t>舍弃阈值，直接提取全局极值</t>
    <phoneticPr fontId="1" type="noConversion"/>
  </si>
  <si>
    <t>短期载荷加入收敛性判断，sheet“Conv"</t>
    <phoneticPr fontId="1" type="noConversion"/>
  </si>
  <si>
    <t>修改经验分布计算，原有概率分区Mi&lt;阈值时=1改为=n/(n+1)</t>
    <phoneticPr fontId="1" type="noConversion"/>
  </si>
  <si>
    <t>Weibull函数拟合由人工经验改为相关系数确定参数</t>
    <phoneticPr fontId="1" type="noConversion"/>
  </si>
  <si>
    <t>种子数改变时自适应填充，无需下拉表格</t>
    <phoneticPr fontId="1" type="noConversion"/>
  </si>
  <si>
    <t>可选择两种载荷提取方式
1）全局极值，2）自定义阈值，筛除外飘极值</t>
    <phoneticPr fontId="1" type="noConversion"/>
  </si>
  <si>
    <t>预警信息（收敛&gt;0.15,DLC1.1/1.3&gt;1)自动变红色</t>
    <phoneticPr fontId="1" type="noConversion"/>
  </si>
  <si>
    <t>风速与种子数自动统计：需要在BLADED后处理包含Vcup变量，与极值一起导入</t>
    <phoneticPr fontId="1" type="noConversion"/>
  </si>
  <si>
    <t>界面更精简，黄色底色为输入和按钮，灰色字体不可动。</t>
    <phoneticPr fontId="1" type="noConversion"/>
  </si>
  <si>
    <t>ed03-beta</t>
    <phoneticPr fontId="1" type="noConversion"/>
  </si>
  <si>
    <t>Weibull放弃规划求解，改为“手动设定U值，线性回归自动计算S,K值，并显示相关系数R”（规划求解的循环寻优过于消耗内存，且可能出错，Excel暂时无法实现）</t>
    <phoneticPr fontId="1" type="noConversion"/>
  </si>
  <si>
    <t>2019.11.13</t>
    <phoneticPr fontId="1" type="noConversion"/>
  </si>
  <si>
    <t>计算公式全部采用 #Vba编写</t>
    <phoneticPr fontId="1" type="noConversion"/>
  </si>
  <si>
    <t>2019.12.6</t>
    <phoneticPr fontId="1" type="noConversion"/>
  </si>
  <si>
    <t>收敛性参考表的种子数扩展至6</t>
    <phoneticPr fontId="1" type="noConversion"/>
  </si>
  <si>
    <t>Wind speed</t>
  </si>
  <si>
    <t>Blade 1 Mx</t>
  </si>
  <si>
    <t>Blade 2 Mx</t>
  </si>
  <si>
    <t>Blade 3 Mx</t>
  </si>
  <si>
    <t>Blade 1 My</t>
  </si>
  <si>
    <t>Blade 2 My</t>
  </si>
  <si>
    <t>Blade 3 My</t>
  </si>
  <si>
    <t>Blade 1 Deflection</t>
  </si>
  <si>
    <t>Blade 2 Deflection</t>
  </si>
  <si>
    <t>Blade 3 Deflection</t>
  </si>
  <si>
    <r>
      <t>不满足条件时，单元格</t>
    </r>
    <r>
      <rPr>
        <sz val="11"/>
        <color rgb="FFFF0000"/>
        <rFont val="宋体"/>
        <family val="3"/>
        <charset val="134"/>
      </rPr>
      <t>跳红</t>
    </r>
    <r>
      <rPr>
        <sz val="11"/>
        <color theme="1"/>
        <rFont val="宋体"/>
        <family val="3"/>
        <charset val="134"/>
      </rPr>
      <t>，可作为检查数据的参考</t>
    </r>
    <phoneticPr fontId="1" type="noConversion"/>
  </si>
  <si>
    <t>n</t>
    <phoneticPr fontId="1" type="noConversion"/>
  </si>
  <si>
    <t>2020.9.3,toCE</t>
    <phoneticPr fontId="1" type="noConversion"/>
  </si>
  <si>
    <t>唐荆</t>
    <phoneticPr fontId="1" type="noConversion"/>
  </si>
  <si>
    <t>风速在DLC11的ws文件夹中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</si>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</sst>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0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8"/>
      <color theme="3"/>
      <name val="Cambria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宋体"/>
      <family val="3"/>
      <charset val="134"/>
    </font>
    <font>
      <sz val="11"/>
      <color theme="0" tint="-0.34998626667073579"/>
      <name val="Calibri"/>
      <family val="3"/>
      <charset val="134"/>
      <scheme val="minor"/>
    </font>
    <font>
      <sz val="10"/>
      <color theme="0" tint="-0.34998626667073579"/>
      <name val="Arial"/>
      <family val="2"/>
    </font>
    <font>
      <sz val="10"/>
      <color theme="0" tint="-0.34998626667073579"/>
      <name val="宋体"/>
      <family val="2"/>
      <charset val="134"/>
    </font>
    <font>
      <b/>
      <sz val="12"/>
      <color theme="1"/>
      <name val="宋体"/>
      <family val="3"/>
      <charset val="134"/>
    </font>
    <font>
      <sz val="9"/>
      <color theme="0" tint="-0.34998626667073579"/>
      <name val="Times New Roman"/>
      <family val="1"/>
    </font>
    <font>
      <i/>
      <sz val="11"/>
      <color theme="1"/>
      <name val="Times New Roman"/>
      <family val="1"/>
    </font>
    <font>
      <sz val="10"/>
      <color theme="0" tint="-0.249977111117893"/>
      <name val="Arial"/>
      <family val="2"/>
    </font>
    <font>
      <sz val="11"/>
      <color theme="0" tint="-0.249977111117893"/>
      <name val="宋体"/>
      <family val="3"/>
      <charset val="134"/>
    </font>
    <font>
      <b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sz val="10"/>
      <color theme="0" tint="-0.249977111117893"/>
      <name val="宋体"/>
      <family val="2"/>
      <charset val="134"/>
    </font>
    <font>
      <sz val="9"/>
      <color theme="0" tint="-0.249977111117893"/>
      <name val="Arial"/>
      <family val="2"/>
    </font>
    <font>
      <sz val="9"/>
      <color theme="0" tint="-0.249977111117893"/>
      <name val="宋体"/>
      <family val="3"/>
      <charset val="134"/>
    </font>
    <font>
      <sz val="9"/>
      <color theme="0" tint="-0.34998626667073579"/>
      <name val="Arial"/>
      <family val="2"/>
    </font>
    <font>
      <b/>
      <sz val="11"/>
      <color theme="1"/>
      <name val="Arial"/>
      <family val="2"/>
    </font>
    <font>
      <sz val="11"/>
      <color rgb="FFFF0000"/>
      <name val="宋体"/>
      <family val="3"/>
      <charset val="134"/>
    </font>
    <font>
      <sz val="8"/>
      <color theme="0" tint="-0.34998626667073579"/>
      <name val="Arial"/>
      <family val="2"/>
    </font>
    <font>
      <sz val="8"/>
      <color theme="0" tint="-0.249977111117893"/>
      <name val="Arial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3"/>
      <name val="Arial"/>
      <family val="2"/>
    </font>
    <font>
      <b/>
      <sz val="11"/>
      <color theme="3"/>
      <name val="宋体"/>
      <family val="3"/>
      <charset val="134"/>
    </font>
    <font>
      <sz val="11"/>
      <color theme="0" tint="-0.499984740745262"/>
      <name val="Arial"/>
      <family val="2"/>
    </font>
    <font>
      <b/>
      <sz val="10"/>
      <color rgb="FFFF0000"/>
      <name val="Arial"/>
      <family val="2"/>
    </font>
    <font>
      <sz val="11"/>
      <color theme="0" tint="-0.3499862666707357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181"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1" fillId="0" borderId="0" xfId="0" applyFont="1" applyBorder="1">
      <alignment vertical="center"/>
    </xf>
    <xf numFmtId="0" fontId="21" fillId="0" borderId="14" xfId="0" applyFont="1" applyBorder="1">
      <alignment vertical="center"/>
    </xf>
    <xf numFmtId="0" fontId="0" fillId="0" borderId="17" xfId="0" applyBorder="1">
      <alignment vertical="center"/>
    </xf>
    <xf numFmtId="0" fontId="0" fillId="0" borderId="14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4" xfId="0" applyFill="1" applyBorder="1">
      <alignment vertical="center"/>
    </xf>
    <xf numFmtId="0" fontId="25" fillId="0" borderId="14" xfId="0" applyFont="1" applyFill="1" applyBorder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6" fillId="0" borderId="0" xfId="0" applyNumberFormat="1" applyFo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6" fillId="0" borderId="21" xfId="0" applyFont="1" applyFill="1" applyBorder="1" applyAlignment="1">
      <alignment horizontal="center" vertical="center"/>
    </xf>
    <xf numFmtId="0" fontId="26" fillId="0" borderId="22" xfId="0" applyFont="1" applyFill="1" applyBorder="1" applyAlignment="1">
      <alignment horizontal="center" vertical="center"/>
    </xf>
    <xf numFmtId="0" fontId="21" fillId="0" borderId="13" xfId="0" applyFont="1" applyBorder="1">
      <alignment vertical="center"/>
    </xf>
    <xf numFmtId="0" fontId="26" fillId="0" borderId="0" xfId="0" applyFont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 vertical="center"/>
    </xf>
    <xf numFmtId="0" fontId="0" fillId="0" borderId="14" xfId="0" applyFont="1" applyFill="1" applyBorder="1">
      <alignment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>
      <alignment vertical="center"/>
    </xf>
    <xf numFmtId="0" fontId="21" fillId="0" borderId="12" xfId="0" applyFont="1" applyBorder="1">
      <alignment vertical="center"/>
    </xf>
    <xf numFmtId="0" fontId="21" fillId="0" borderId="30" xfId="0" applyFont="1" applyBorder="1">
      <alignment vertical="center"/>
    </xf>
    <xf numFmtId="0" fontId="21" fillId="0" borderId="13" xfId="0" applyFont="1" applyFill="1" applyBorder="1">
      <alignment vertical="center"/>
    </xf>
    <xf numFmtId="0" fontId="21" fillId="0" borderId="13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0" xfId="0" applyFont="1" applyFill="1" applyBorder="1">
      <alignment vertical="center"/>
    </xf>
    <xf numFmtId="0" fontId="21" fillId="0" borderId="15" xfId="0" applyFont="1" applyFill="1" applyBorder="1">
      <alignment vertical="center"/>
    </xf>
    <xf numFmtId="0" fontId="21" fillId="0" borderId="16" xfId="0" applyFont="1" applyFill="1" applyBorder="1">
      <alignment vertical="center"/>
    </xf>
    <xf numFmtId="0" fontId="21" fillId="0" borderId="31" xfId="0" applyFont="1" applyBorder="1">
      <alignment vertical="center"/>
    </xf>
    <xf numFmtId="0" fontId="21" fillId="0" borderId="17" xfId="0" applyFont="1" applyBorder="1" applyAlignment="1">
      <alignment horizontal="center" vertical="center"/>
    </xf>
    <xf numFmtId="0" fontId="26" fillId="0" borderId="18" xfId="0" applyFont="1" applyFill="1" applyBorder="1" applyAlignment="1">
      <alignment horizontal="center" vertical="center"/>
    </xf>
    <xf numFmtId="0" fontId="31" fillId="0" borderId="0" xfId="0" applyFont="1" applyFill="1">
      <alignment vertical="center"/>
    </xf>
    <xf numFmtId="0" fontId="31" fillId="0" borderId="0" xfId="0" applyFont="1">
      <alignment vertical="center"/>
    </xf>
    <xf numFmtId="0" fontId="31" fillId="0" borderId="0" xfId="0" applyFont="1" applyFill="1" applyBorder="1">
      <alignment vertical="center"/>
    </xf>
    <xf numFmtId="0" fontId="31" fillId="0" borderId="0" xfId="0" applyFont="1" applyBorder="1">
      <alignment vertical="center"/>
    </xf>
    <xf numFmtId="164" fontId="31" fillId="0" borderId="0" xfId="0" applyNumberFormat="1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34" fillId="0" borderId="0" xfId="0" applyFont="1" applyFill="1">
      <alignment vertical="center"/>
    </xf>
    <xf numFmtId="0" fontId="31" fillId="0" borderId="0" xfId="0" applyFont="1" applyFill="1" applyBorder="1" applyAlignment="1">
      <alignment vertical="center" wrapText="1"/>
    </xf>
    <xf numFmtId="0" fontId="31" fillId="0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Fill="1" applyBorder="1" applyAlignment="1">
      <alignment vertical="center"/>
    </xf>
    <xf numFmtId="0" fontId="33" fillId="0" borderId="0" xfId="0" applyFont="1" applyFill="1" applyBorder="1" applyAlignment="1">
      <alignment horizontal="center" vertical="center"/>
    </xf>
    <xf numFmtId="164" fontId="31" fillId="0" borderId="0" xfId="0" applyNumberFormat="1" applyFont="1" applyFill="1" applyBorder="1">
      <alignment vertical="center"/>
    </xf>
    <xf numFmtId="0" fontId="21" fillId="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0" borderId="10" xfId="0" applyFont="1" applyFill="1" applyBorder="1">
      <alignment vertical="center"/>
    </xf>
    <xf numFmtId="0" fontId="21" fillId="0" borderId="27" xfId="0" applyFont="1" applyFill="1" applyBorder="1">
      <alignment vertical="center"/>
    </xf>
    <xf numFmtId="0" fontId="21" fillId="0" borderId="33" xfId="0" applyFont="1" applyFill="1" applyBorder="1">
      <alignment vertical="center"/>
    </xf>
    <xf numFmtId="0" fontId="21" fillId="33" borderId="18" xfId="0" applyFont="1" applyFill="1" applyBorder="1">
      <alignment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29" xfId="0" applyFont="1" applyFill="1" applyBorder="1" applyAlignment="1">
      <alignment horizontal="center" vertical="center"/>
    </xf>
    <xf numFmtId="0" fontId="21" fillId="33" borderId="32" xfId="0" applyFont="1" applyFill="1" applyBorder="1">
      <alignment vertical="center"/>
    </xf>
    <xf numFmtId="0" fontId="21" fillId="33" borderId="28" xfId="0" applyFont="1" applyFill="1" applyBorder="1">
      <alignment vertical="center"/>
    </xf>
    <xf numFmtId="0" fontId="21" fillId="0" borderId="10" xfId="0" applyFont="1" applyBorder="1" applyAlignment="1">
      <alignment horizontal="center" vertical="center"/>
    </xf>
    <xf numFmtId="0" fontId="21" fillId="33" borderId="11" xfId="0" applyFont="1" applyFill="1" applyBorder="1" applyAlignment="1">
      <alignment horizontal="center" vertical="center"/>
    </xf>
    <xf numFmtId="0" fontId="21" fillId="33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21" fillId="33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39" fillId="0" borderId="16" xfId="0" applyFont="1" applyFill="1" applyBorder="1" applyAlignment="1">
      <alignment horizontal="center"/>
    </xf>
    <xf numFmtId="0" fontId="26" fillId="0" borderId="36" xfId="0" applyFont="1" applyFill="1" applyBorder="1">
      <alignment vertical="center"/>
    </xf>
    <xf numFmtId="0" fontId="26" fillId="0" borderId="35" xfId="0" applyFont="1" applyFill="1" applyBorder="1">
      <alignment vertical="center"/>
    </xf>
    <xf numFmtId="0" fontId="26" fillId="0" borderId="35" xfId="0" applyFont="1" applyFill="1" applyBorder="1" applyAlignment="1">
      <alignment horizontal="center" vertical="center"/>
    </xf>
    <xf numFmtId="0" fontId="26" fillId="0" borderId="37" xfId="0" applyFont="1" applyFill="1" applyBorder="1" applyAlignment="1">
      <alignment horizontal="right" vertical="center"/>
    </xf>
    <xf numFmtId="0" fontId="20" fillId="0" borderId="38" xfId="0" applyFont="1" applyBorder="1">
      <alignment vertical="center"/>
    </xf>
    <xf numFmtId="0" fontId="26" fillId="0" borderId="39" xfId="0" applyFont="1" applyBorder="1" applyAlignment="1">
      <alignment horizontal="right" vertical="center"/>
    </xf>
    <xf numFmtId="0" fontId="20" fillId="0" borderId="40" xfId="0" applyFont="1" applyBorder="1">
      <alignment vertical="center"/>
    </xf>
    <xf numFmtId="0" fontId="20" fillId="0" borderId="39" xfId="0" applyFont="1" applyBorder="1">
      <alignment vertical="center"/>
    </xf>
    <xf numFmtId="0" fontId="26" fillId="0" borderId="39" xfId="0" applyFont="1" applyBorder="1">
      <alignment vertical="center"/>
    </xf>
    <xf numFmtId="0" fontId="26" fillId="0" borderId="40" xfId="0" applyFont="1" applyBorder="1">
      <alignment vertical="center"/>
    </xf>
    <xf numFmtId="0" fontId="26" fillId="0" borderId="41" xfId="0" applyFont="1" applyBorder="1">
      <alignment vertical="center"/>
    </xf>
    <xf numFmtId="0" fontId="26" fillId="0" borderId="42" xfId="0" applyFont="1" applyBorder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1" fillId="0" borderId="0" xfId="0" applyFont="1" applyFill="1" applyBorder="1" applyAlignment="1">
      <alignment horizontal="center" vertical="center" wrapText="1"/>
    </xf>
    <xf numFmtId="0" fontId="31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31" fillId="0" borderId="35" xfId="0" applyFont="1" applyBorder="1" applyAlignment="1">
      <alignment horizontal="center" vertical="center"/>
    </xf>
    <xf numFmtId="0" fontId="31" fillId="0" borderId="35" xfId="0" applyFont="1" applyFill="1" applyBorder="1" applyAlignment="1">
      <alignment horizontal="center" vertical="center"/>
    </xf>
    <xf numFmtId="0" fontId="31" fillId="0" borderId="35" xfId="0" applyFont="1" applyFill="1" applyBorder="1">
      <alignment vertical="center"/>
    </xf>
    <xf numFmtId="0" fontId="31" fillId="0" borderId="39" xfId="0" applyFont="1" applyBorder="1">
      <alignment vertical="center"/>
    </xf>
    <xf numFmtId="0" fontId="31" fillId="0" borderId="40" xfId="0" applyFont="1" applyBorder="1">
      <alignment vertical="center"/>
    </xf>
    <xf numFmtId="0" fontId="31" fillId="0" borderId="39" xfId="0" applyFont="1" applyFill="1" applyBorder="1">
      <alignment vertical="center"/>
    </xf>
    <xf numFmtId="0" fontId="31" fillId="0" borderId="41" xfId="0" applyFont="1" applyBorder="1">
      <alignment vertical="center"/>
    </xf>
    <xf numFmtId="0" fontId="31" fillId="0" borderId="44" xfId="0" applyFont="1" applyBorder="1">
      <alignment vertical="center"/>
    </xf>
    <xf numFmtId="0" fontId="31" fillId="0" borderId="42" xfId="0" applyFont="1" applyBorder="1">
      <alignment vertical="center"/>
    </xf>
    <xf numFmtId="0" fontId="31" fillId="0" borderId="0" xfId="0" applyFont="1" applyFill="1" applyBorder="1" applyAlignment="1">
      <alignment horizontal="right" vertical="center"/>
    </xf>
    <xf numFmtId="0" fontId="31" fillId="0" borderId="0" xfId="0" applyFont="1" applyAlignment="1">
      <alignment horizontal="right" vertical="center"/>
    </xf>
    <xf numFmtId="0" fontId="21" fillId="0" borderId="0" xfId="0" applyFont="1" applyBorder="1" applyAlignment="1">
      <alignment horizontal="center" vertical="center"/>
    </xf>
    <xf numFmtId="0" fontId="21" fillId="0" borderId="14" xfId="0" applyFont="1" applyFill="1" applyBorder="1" applyAlignment="1">
      <alignment horizontal="center" vertical="center"/>
    </xf>
    <xf numFmtId="0" fontId="21" fillId="0" borderId="14" xfId="0" applyFont="1" applyFill="1" applyBorder="1" applyAlignment="1">
      <alignment horizontal="center"/>
    </xf>
    <xf numFmtId="0" fontId="39" fillId="0" borderId="17" xfId="0" applyFont="1" applyFill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15" xfId="0" applyFont="1" applyFill="1" applyBorder="1" applyAlignment="1">
      <alignment horizontal="center" vertical="center"/>
    </xf>
    <xf numFmtId="0" fontId="21" fillId="33" borderId="27" xfId="0" applyFont="1" applyFill="1" applyBorder="1" applyAlignment="1">
      <alignment horizontal="center" vertical="center"/>
    </xf>
    <xf numFmtId="0" fontId="45" fillId="0" borderId="0" xfId="0" applyFont="1" applyBorder="1">
      <alignment vertical="center"/>
    </xf>
    <xf numFmtId="0" fontId="45" fillId="0" borderId="14" xfId="0" applyFont="1" applyBorder="1">
      <alignment vertical="center"/>
    </xf>
    <xf numFmtId="0" fontId="46" fillId="0" borderId="16" xfId="0" applyFont="1" applyFill="1" applyBorder="1">
      <alignment vertical="center"/>
    </xf>
    <xf numFmtId="0" fontId="45" fillId="0" borderId="16" xfId="0" applyFont="1" applyFill="1" applyBorder="1">
      <alignment vertical="center"/>
    </xf>
    <xf numFmtId="0" fontId="45" fillId="0" borderId="17" xfId="0" applyFont="1" applyFill="1" applyBorder="1">
      <alignment vertical="center"/>
    </xf>
    <xf numFmtId="0" fontId="47" fillId="0" borderId="18" xfId="0" applyFont="1" applyFill="1" applyBorder="1">
      <alignment vertical="center"/>
    </xf>
    <xf numFmtId="0" fontId="21" fillId="0" borderId="11" xfId="0" applyFont="1" applyFill="1" applyBorder="1" applyAlignment="1">
      <alignment horizontal="center" vertical="center"/>
    </xf>
    <xf numFmtId="0" fontId="21" fillId="0" borderId="12" xfId="0" applyFont="1" applyFill="1" applyBorder="1" applyAlignment="1">
      <alignment horizontal="center" vertical="center"/>
    </xf>
    <xf numFmtId="0" fontId="26" fillId="0" borderId="0" xfId="0" applyFont="1" applyAlignment="1"/>
    <xf numFmtId="0" fontId="26" fillId="0" borderId="0" xfId="0" applyNumberFormat="1" applyFont="1" applyAlignment="1"/>
    <xf numFmtId="0" fontId="20" fillId="0" borderId="0" xfId="0" applyFont="1" applyAlignment="1"/>
    <xf numFmtId="0" fontId="26" fillId="0" borderId="0" xfId="0" applyFont="1" applyFill="1" applyBorder="1" applyAlignment="1">
      <alignment horizontal="right" vertical="center"/>
    </xf>
    <xf numFmtId="0" fontId="26" fillId="0" borderId="0" xfId="0" applyFont="1" applyAlignment="1">
      <alignment horizontal="right" vertical="center"/>
    </xf>
    <xf numFmtId="0" fontId="21" fillId="0" borderId="13" xfId="0" applyFont="1" applyFill="1" applyBorder="1" applyAlignment="1">
      <alignment horizontal="center"/>
    </xf>
    <xf numFmtId="0" fontId="21" fillId="0" borderId="15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 vertical="center"/>
    </xf>
    <xf numFmtId="0" fontId="48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left"/>
    </xf>
    <xf numFmtId="0" fontId="41" fillId="0" borderId="0" xfId="0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Font="1" applyFill="1" applyBorder="1">
      <alignment vertical="center"/>
    </xf>
    <xf numFmtId="0" fontId="49" fillId="0" borderId="34" xfId="0" applyFont="1" applyFill="1" applyBorder="1" applyAlignment="1">
      <alignment horizontal="center" vertical="center"/>
    </xf>
    <xf numFmtId="0" fontId="49" fillId="0" borderId="18" xfId="0" applyFont="1" applyFill="1" applyBorder="1">
      <alignment vertical="center"/>
    </xf>
    <xf numFmtId="0" fontId="49" fillId="0" borderId="28" xfId="0" applyFont="1" applyFill="1" applyBorder="1">
      <alignment vertical="center"/>
    </xf>
    <xf numFmtId="164" fontId="31" fillId="0" borderId="0" xfId="0" applyNumberFormat="1" applyFont="1" applyFill="1" applyBorder="1" applyAlignment="1">
      <alignment vertical="center"/>
    </xf>
    <xf numFmtId="0" fontId="23" fillId="0" borderId="45" xfId="0" applyFont="1" applyFill="1" applyBorder="1" applyAlignment="1">
      <alignment horizontal="center" vertical="center"/>
    </xf>
    <xf numFmtId="0" fontId="20" fillId="0" borderId="45" xfId="0" applyFont="1" applyBorder="1">
      <alignment vertical="center"/>
    </xf>
    <xf numFmtId="0" fontId="26" fillId="0" borderId="0" xfId="0" applyFont="1" applyBorder="1">
      <alignment vertical="center"/>
    </xf>
    <xf numFmtId="0" fontId="26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center"/>
    </xf>
    <xf numFmtId="0" fontId="20" fillId="0" borderId="0" xfId="0" applyFont="1" applyFill="1" applyBorder="1">
      <alignment vertical="center"/>
    </xf>
    <xf numFmtId="0" fontId="3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31" fillId="0" borderId="35" xfId="0" applyFont="1" applyBorder="1" applyAlignment="1">
      <alignment horizontal="center" vertical="center"/>
    </xf>
    <xf numFmtId="0" fontId="31" fillId="0" borderId="35" xfId="0" applyFont="1" applyFill="1" applyBorder="1" applyAlignment="1">
      <alignment horizontal="center" vertical="center" wrapText="1"/>
    </xf>
    <xf numFmtId="0" fontId="31" fillId="0" borderId="37" xfId="0" applyFont="1" applyBorder="1" applyAlignment="1">
      <alignment horizontal="center" vertical="center"/>
    </xf>
    <xf numFmtId="0" fontId="31" fillId="0" borderId="4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 wrapText="1"/>
    </xf>
    <xf numFmtId="0" fontId="31" fillId="0" borderId="44" xfId="0" applyFont="1" applyFill="1" applyBorder="1" applyAlignment="1">
      <alignment horizontal="center" vertical="center" wrapText="1"/>
    </xf>
    <xf numFmtId="0" fontId="26" fillId="0" borderId="19" xfId="0" applyFont="1" applyFill="1" applyBorder="1" applyAlignment="1">
      <alignment horizontal="center" vertical="center"/>
    </xf>
    <xf numFmtId="0" fontId="26" fillId="0" borderId="26" xfId="0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1" fillId="0" borderId="11" xfId="0" applyFont="1" applyFill="1" applyBorder="1" applyAlignment="1">
      <alignment horizontal="center" vertical="center"/>
    </xf>
    <xf numFmtId="0" fontId="21" fillId="0" borderId="12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FFFFCC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altLang="zh-CN"/>
              <a:t>Mx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47892542843906"/>
          <c:y val="0.14223798266351459"/>
          <c:w val="0.70030133150191931"/>
          <c:h val="0.6910494344235339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Extrapolation!$C$12:$C$552</c:f>
              <c:numCache>
                <c:formatCode>General</c:formatCode>
                <c:ptCount val="541"/>
                <c:pt idx="0">
                  <c:v>5154.018</c:v>
                </c:pt>
                <c:pt idx="1">
                  <c:v>5168.1695</c:v>
                </c:pt>
                <c:pt idx="2">
                  <c:v>5201.6215000000002</c:v>
                </c:pt>
                <c:pt idx="3">
                  <c:v>5202.4920000000002</c:v>
                </c:pt>
                <c:pt idx="4">
                  <c:v>5215.4285</c:v>
                </c:pt>
                <c:pt idx="5">
                  <c:v>5217.1139999999996</c:v>
                </c:pt>
                <c:pt idx="6">
                  <c:v>5226.7475000000004</c:v>
                </c:pt>
                <c:pt idx="7">
                  <c:v>5268.9970000000003</c:v>
                </c:pt>
                <c:pt idx="8">
                  <c:v>5293.8125</c:v>
                </c:pt>
                <c:pt idx="9">
                  <c:v>5299.6284999999998</c:v>
                </c:pt>
                <c:pt idx="10">
                  <c:v>5302.4714999999997</c:v>
                </c:pt>
                <c:pt idx="11">
                  <c:v>5305.6329999999998</c:v>
                </c:pt>
                <c:pt idx="12">
                  <c:v>5333.31</c:v>
                </c:pt>
                <c:pt idx="13">
                  <c:v>5360.8280000000004</c:v>
                </c:pt>
                <c:pt idx="14">
                  <c:v>5384.0675000000001</c:v>
                </c:pt>
                <c:pt idx="15">
                  <c:v>5680.3755000000001</c:v>
                </c:pt>
                <c:pt idx="16">
                  <c:v>5705.9650000000001</c:v>
                </c:pt>
                <c:pt idx="17">
                  <c:v>5732.9740000000002</c:v>
                </c:pt>
                <c:pt idx="18">
                  <c:v>5749.5640000000003</c:v>
                </c:pt>
                <c:pt idx="19">
                  <c:v>5755.5510000000004</c:v>
                </c:pt>
                <c:pt idx="20">
                  <c:v>5832.6580000000004</c:v>
                </c:pt>
                <c:pt idx="21">
                  <c:v>5899.9279999999999</c:v>
                </c:pt>
                <c:pt idx="22">
                  <c:v>5908.1835000000001</c:v>
                </c:pt>
                <c:pt idx="23">
                  <c:v>5932.7605000000003</c:v>
                </c:pt>
                <c:pt idx="24">
                  <c:v>5935.3050000000003</c:v>
                </c:pt>
                <c:pt idx="25">
                  <c:v>5963.8604999999998</c:v>
                </c:pt>
                <c:pt idx="26">
                  <c:v>5978.15</c:v>
                </c:pt>
                <c:pt idx="27">
                  <c:v>6055.6734999999999</c:v>
                </c:pt>
                <c:pt idx="28">
                  <c:v>6224.2325000000001</c:v>
                </c:pt>
                <c:pt idx="29">
                  <c:v>6392.0815000000002</c:v>
                </c:pt>
                <c:pt idx="30">
                  <c:v>6486.1139999999996</c:v>
                </c:pt>
                <c:pt idx="31">
                  <c:v>6517.8355000000001</c:v>
                </c:pt>
                <c:pt idx="32">
                  <c:v>6521.8559999999998</c:v>
                </c:pt>
                <c:pt idx="33">
                  <c:v>6525.9314999999997</c:v>
                </c:pt>
                <c:pt idx="34">
                  <c:v>6591.6184999999996</c:v>
                </c:pt>
                <c:pt idx="35">
                  <c:v>6636.4979999999996</c:v>
                </c:pt>
                <c:pt idx="36">
                  <c:v>6640.9215000000004</c:v>
                </c:pt>
                <c:pt idx="37">
                  <c:v>6658.9314999999997</c:v>
                </c:pt>
                <c:pt idx="38">
                  <c:v>6679.5469999999996</c:v>
                </c:pt>
                <c:pt idx="39">
                  <c:v>6684.4579999999996</c:v>
                </c:pt>
                <c:pt idx="40">
                  <c:v>6685.4350000000004</c:v>
                </c:pt>
                <c:pt idx="41">
                  <c:v>6691.0320000000002</c:v>
                </c:pt>
                <c:pt idx="42">
                  <c:v>6699.4849999999997</c:v>
                </c:pt>
                <c:pt idx="43">
                  <c:v>6704.2150000000001</c:v>
                </c:pt>
                <c:pt idx="44">
                  <c:v>6723.6745000000001</c:v>
                </c:pt>
                <c:pt idx="45">
                  <c:v>6727.6554999999998</c:v>
                </c:pt>
                <c:pt idx="46">
                  <c:v>6728.5079999999998</c:v>
                </c:pt>
                <c:pt idx="47">
                  <c:v>6736.8145000000004</c:v>
                </c:pt>
                <c:pt idx="48">
                  <c:v>6772.9449999999997</c:v>
                </c:pt>
                <c:pt idx="49">
                  <c:v>6777.0140000000001</c:v>
                </c:pt>
                <c:pt idx="50">
                  <c:v>6780.6760000000004</c:v>
                </c:pt>
                <c:pt idx="51">
                  <c:v>6810.6419999999998</c:v>
                </c:pt>
                <c:pt idx="52">
                  <c:v>6822.808</c:v>
                </c:pt>
                <c:pt idx="53">
                  <c:v>6830.8990000000003</c:v>
                </c:pt>
                <c:pt idx="54">
                  <c:v>6832.7020000000002</c:v>
                </c:pt>
                <c:pt idx="55">
                  <c:v>6839.6760000000004</c:v>
                </c:pt>
                <c:pt idx="56">
                  <c:v>6841.03</c:v>
                </c:pt>
                <c:pt idx="57">
                  <c:v>6844.067</c:v>
                </c:pt>
                <c:pt idx="58">
                  <c:v>6852.9369999999999</c:v>
                </c:pt>
                <c:pt idx="59">
                  <c:v>6861.4485000000004</c:v>
                </c:pt>
                <c:pt idx="60">
                  <c:v>6861.7155000000002</c:v>
                </c:pt>
                <c:pt idx="61">
                  <c:v>6870.7105000000001</c:v>
                </c:pt>
                <c:pt idx="62">
                  <c:v>6873.88</c:v>
                </c:pt>
                <c:pt idx="63">
                  <c:v>6878.8040000000001</c:v>
                </c:pt>
                <c:pt idx="64">
                  <c:v>6881.4849999999997</c:v>
                </c:pt>
                <c:pt idx="65">
                  <c:v>6891.8289999999997</c:v>
                </c:pt>
                <c:pt idx="66">
                  <c:v>6905.2354999999998</c:v>
                </c:pt>
                <c:pt idx="67">
                  <c:v>6913.1610000000001</c:v>
                </c:pt>
                <c:pt idx="68">
                  <c:v>6927.79</c:v>
                </c:pt>
                <c:pt idx="69">
                  <c:v>6933.2275</c:v>
                </c:pt>
                <c:pt idx="70">
                  <c:v>6948.1509999999998</c:v>
                </c:pt>
                <c:pt idx="71">
                  <c:v>6960.2855</c:v>
                </c:pt>
                <c:pt idx="72">
                  <c:v>6965.7569999999996</c:v>
                </c:pt>
                <c:pt idx="73">
                  <c:v>6965.9530000000004</c:v>
                </c:pt>
                <c:pt idx="74">
                  <c:v>6970.6464999999998</c:v>
                </c:pt>
                <c:pt idx="75">
                  <c:v>6993.7470000000003</c:v>
                </c:pt>
                <c:pt idx="76">
                  <c:v>7013.6260000000002</c:v>
                </c:pt>
                <c:pt idx="77">
                  <c:v>7017.2205000000004</c:v>
                </c:pt>
                <c:pt idx="78">
                  <c:v>7024.0940000000001</c:v>
                </c:pt>
                <c:pt idx="79">
                  <c:v>7030.7280000000001</c:v>
                </c:pt>
                <c:pt idx="80">
                  <c:v>7041.9669999999996</c:v>
                </c:pt>
                <c:pt idx="81">
                  <c:v>7056.0325000000003</c:v>
                </c:pt>
                <c:pt idx="82">
                  <c:v>7063.8744999999999</c:v>
                </c:pt>
                <c:pt idx="83">
                  <c:v>7070.2470000000003</c:v>
                </c:pt>
                <c:pt idx="84">
                  <c:v>7077.6215000000002</c:v>
                </c:pt>
                <c:pt idx="85">
                  <c:v>7111.7134999999998</c:v>
                </c:pt>
                <c:pt idx="86">
                  <c:v>7159.4849999999997</c:v>
                </c:pt>
                <c:pt idx="87">
                  <c:v>7165.3535000000002</c:v>
                </c:pt>
                <c:pt idx="88">
                  <c:v>7176.7704999999996</c:v>
                </c:pt>
                <c:pt idx="89">
                  <c:v>7180.4139999999998</c:v>
                </c:pt>
                <c:pt idx="90">
                  <c:v>7221.5370000000003</c:v>
                </c:pt>
                <c:pt idx="91">
                  <c:v>7224.3209999999999</c:v>
                </c:pt>
                <c:pt idx="92">
                  <c:v>7228.3959999999997</c:v>
                </c:pt>
                <c:pt idx="93">
                  <c:v>7235.1610000000001</c:v>
                </c:pt>
                <c:pt idx="94">
                  <c:v>7236.11</c:v>
                </c:pt>
                <c:pt idx="95">
                  <c:v>7244.4295000000002</c:v>
                </c:pt>
                <c:pt idx="96">
                  <c:v>7249.7434999999996</c:v>
                </c:pt>
                <c:pt idx="97">
                  <c:v>7259.4444999999996</c:v>
                </c:pt>
                <c:pt idx="98">
                  <c:v>7289.4894999999997</c:v>
                </c:pt>
                <c:pt idx="99">
                  <c:v>7291.5950000000003</c:v>
                </c:pt>
                <c:pt idx="100">
                  <c:v>7307.6629999999996</c:v>
                </c:pt>
                <c:pt idx="101">
                  <c:v>7327.08</c:v>
                </c:pt>
                <c:pt idx="102">
                  <c:v>7335.9795000000004</c:v>
                </c:pt>
                <c:pt idx="103">
                  <c:v>7353.2785000000003</c:v>
                </c:pt>
                <c:pt idx="104">
                  <c:v>7374.7264999999998</c:v>
                </c:pt>
                <c:pt idx="105">
                  <c:v>7376.8654999999999</c:v>
                </c:pt>
                <c:pt idx="106">
                  <c:v>7394.4885000000004</c:v>
                </c:pt>
                <c:pt idx="107">
                  <c:v>7397.9525000000003</c:v>
                </c:pt>
                <c:pt idx="108">
                  <c:v>7419.7494999999999</c:v>
                </c:pt>
                <c:pt idx="109">
                  <c:v>7420.5619999999999</c:v>
                </c:pt>
                <c:pt idx="110">
                  <c:v>7422.2939999999999</c:v>
                </c:pt>
                <c:pt idx="111">
                  <c:v>7423.6504999999997</c:v>
                </c:pt>
                <c:pt idx="112">
                  <c:v>7424.4705000000004</c:v>
                </c:pt>
                <c:pt idx="113">
                  <c:v>7430.6975000000002</c:v>
                </c:pt>
                <c:pt idx="114">
                  <c:v>7436.7775000000001</c:v>
                </c:pt>
                <c:pt idx="115">
                  <c:v>7441.2929999999997</c:v>
                </c:pt>
                <c:pt idx="116">
                  <c:v>7442.1954999999998</c:v>
                </c:pt>
                <c:pt idx="117">
                  <c:v>7444.4849999999997</c:v>
                </c:pt>
                <c:pt idx="118">
                  <c:v>7455.1854999999996</c:v>
                </c:pt>
                <c:pt idx="119">
                  <c:v>7463.0715</c:v>
                </c:pt>
                <c:pt idx="120">
                  <c:v>7463.2389999999996</c:v>
                </c:pt>
                <c:pt idx="121">
                  <c:v>7463.3694999999998</c:v>
                </c:pt>
                <c:pt idx="122">
                  <c:v>7469.7719999999999</c:v>
                </c:pt>
                <c:pt idx="123">
                  <c:v>7470.3545000000004</c:v>
                </c:pt>
                <c:pt idx="124">
                  <c:v>7472.0140000000001</c:v>
                </c:pt>
                <c:pt idx="125">
                  <c:v>7476.1014999999998</c:v>
                </c:pt>
                <c:pt idx="126">
                  <c:v>7481.8190000000004</c:v>
                </c:pt>
                <c:pt idx="127">
                  <c:v>7484.2214999999997</c:v>
                </c:pt>
                <c:pt idx="128">
                  <c:v>7485.4080000000004</c:v>
                </c:pt>
                <c:pt idx="129">
                  <c:v>7486.9155000000001</c:v>
                </c:pt>
                <c:pt idx="130">
                  <c:v>7492.2110000000002</c:v>
                </c:pt>
                <c:pt idx="131">
                  <c:v>7497.8474999999999</c:v>
                </c:pt>
                <c:pt idx="132">
                  <c:v>7506.7759999999998</c:v>
                </c:pt>
                <c:pt idx="133">
                  <c:v>7510.8554999999997</c:v>
                </c:pt>
                <c:pt idx="134">
                  <c:v>7514.1364999999996</c:v>
                </c:pt>
                <c:pt idx="135">
                  <c:v>7514.665</c:v>
                </c:pt>
                <c:pt idx="136">
                  <c:v>7520.9624999999996</c:v>
                </c:pt>
                <c:pt idx="137">
                  <c:v>7535.7534999999998</c:v>
                </c:pt>
                <c:pt idx="138">
                  <c:v>7557.6009999999997</c:v>
                </c:pt>
                <c:pt idx="139">
                  <c:v>7557.8909999999996</c:v>
                </c:pt>
                <c:pt idx="140">
                  <c:v>7558.4939999999997</c:v>
                </c:pt>
                <c:pt idx="141">
                  <c:v>7560.4939999999997</c:v>
                </c:pt>
                <c:pt idx="142">
                  <c:v>7561.2879999999996</c:v>
                </c:pt>
                <c:pt idx="143">
                  <c:v>7561.9870000000001</c:v>
                </c:pt>
                <c:pt idx="144">
                  <c:v>7564.3370000000004</c:v>
                </c:pt>
                <c:pt idx="145">
                  <c:v>7571.8869999999997</c:v>
                </c:pt>
                <c:pt idx="146">
                  <c:v>7574.9324999999999</c:v>
                </c:pt>
                <c:pt idx="147">
                  <c:v>7576.43</c:v>
                </c:pt>
                <c:pt idx="148">
                  <c:v>7584.6274999999996</c:v>
                </c:pt>
                <c:pt idx="149">
                  <c:v>7587.8540000000003</c:v>
                </c:pt>
                <c:pt idx="150">
                  <c:v>7588.0135</c:v>
                </c:pt>
                <c:pt idx="151">
                  <c:v>7588.027</c:v>
                </c:pt>
                <c:pt idx="152">
                  <c:v>7593.415</c:v>
                </c:pt>
                <c:pt idx="153">
                  <c:v>7594.0339999999997</c:v>
                </c:pt>
                <c:pt idx="154">
                  <c:v>7594.3635000000004</c:v>
                </c:pt>
                <c:pt idx="155">
                  <c:v>7599.8755000000001</c:v>
                </c:pt>
                <c:pt idx="156">
                  <c:v>7599.99</c:v>
                </c:pt>
                <c:pt idx="157">
                  <c:v>7602.01</c:v>
                </c:pt>
                <c:pt idx="158">
                  <c:v>7605.9425000000001</c:v>
                </c:pt>
                <c:pt idx="159">
                  <c:v>7611.4250000000002</c:v>
                </c:pt>
                <c:pt idx="160">
                  <c:v>7630.9785000000002</c:v>
                </c:pt>
                <c:pt idx="161">
                  <c:v>7637.3810000000003</c:v>
                </c:pt>
                <c:pt idx="162">
                  <c:v>7644.1324999999997</c:v>
                </c:pt>
                <c:pt idx="163">
                  <c:v>7647.6760000000004</c:v>
                </c:pt>
                <c:pt idx="164">
                  <c:v>7655.68</c:v>
                </c:pt>
                <c:pt idx="165">
                  <c:v>7660.3879999999999</c:v>
                </c:pt>
                <c:pt idx="166">
                  <c:v>7660.6019999999999</c:v>
                </c:pt>
                <c:pt idx="167">
                  <c:v>7663.6270000000004</c:v>
                </c:pt>
                <c:pt idx="168">
                  <c:v>7669.4989999999998</c:v>
                </c:pt>
                <c:pt idx="169">
                  <c:v>7673.0680000000002</c:v>
                </c:pt>
                <c:pt idx="170">
                  <c:v>7673.2749999999996</c:v>
                </c:pt>
                <c:pt idx="171">
                  <c:v>7679.665</c:v>
                </c:pt>
                <c:pt idx="172">
                  <c:v>7680.8204999999998</c:v>
                </c:pt>
                <c:pt idx="173">
                  <c:v>7681.4960000000001</c:v>
                </c:pt>
                <c:pt idx="174">
                  <c:v>7684.2120000000004</c:v>
                </c:pt>
                <c:pt idx="175">
                  <c:v>7685.6925000000001</c:v>
                </c:pt>
                <c:pt idx="176">
                  <c:v>7690.9920000000002</c:v>
                </c:pt>
                <c:pt idx="177">
                  <c:v>7694.259</c:v>
                </c:pt>
                <c:pt idx="178">
                  <c:v>7695.5725000000002</c:v>
                </c:pt>
                <c:pt idx="179">
                  <c:v>7702.5460000000003</c:v>
                </c:pt>
                <c:pt idx="180">
                  <c:v>7715.0510000000004</c:v>
                </c:pt>
                <c:pt idx="181">
                  <c:v>7720.375</c:v>
                </c:pt>
                <c:pt idx="182">
                  <c:v>7721.82</c:v>
                </c:pt>
                <c:pt idx="183">
                  <c:v>7723.9229999999998</c:v>
                </c:pt>
                <c:pt idx="184">
                  <c:v>7747.5065000000004</c:v>
                </c:pt>
                <c:pt idx="185">
                  <c:v>7756.9759999999997</c:v>
                </c:pt>
                <c:pt idx="186">
                  <c:v>7759.7629999999999</c:v>
                </c:pt>
                <c:pt idx="187">
                  <c:v>7768.1225000000004</c:v>
                </c:pt>
                <c:pt idx="188">
                  <c:v>7772.8765000000003</c:v>
                </c:pt>
                <c:pt idx="189">
                  <c:v>7774.1360000000004</c:v>
                </c:pt>
                <c:pt idx="190">
                  <c:v>7776.5969999999998</c:v>
                </c:pt>
                <c:pt idx="191">
                  <c:v>7779.1109999999999</c:v>
                </c:pt>
                <c:pt idx="192">
                  <c:v>7789.3739999999998</c:v>
                </c:pt>
                <c:pt idx="193">
                  <c:v>7805.1525000000001</c:v>
                </c:pt>
                <c:pt idx="194">
                  <c:v>7810.48</c:v>
                </c:pt>
                <c:pt idx="195">
                  <c:v>7814.6435000000001</c:v>
                </c:pt>
                <c:pt idx="196">
                  <c:v>7817.4705000000004</c:v>
                </c:pt>
                <c:pt idx="197">
                  <c:v>7818.076</c:v>
                </c:pt>
                <c:pt idx="198">
                  <c:v>7821.2430000000004</c:v>
                </c:pt>
                <c:pt idx="199">
                  <c:v>7822.5635000000002</c:v>
                </c:pt>
                <c:pt idx="200">
                  <c:v>7822.6620000000003</c:v>
                </c:pt>
                <c:pt idx="201">
                  <c:v>7823.5690000000004</c:v>
                </c:pt>
                <c:pt idx="202">
                  <c:v>7828.3135000000002</c:v>
                </c:pt>
                <c:pt idx="203">
                  <c:v>7828.6025</c:v>
                </c:pt>
                <c:pt idx="204">
                  <c:v>7831.4155000000001</c:v>
                </c:pt>
                <c:pt idx="205">
                  <c:v>7834.7629999999999</c:v>
                </c:pt>
                <c:pt idx="206">
                  <c:v>7842.0304999999998</c:v>
                </c:pt>
                <c:pt idx="207">
                  <c:v>7843.4430000000002</c:v>
                </c:pt>
                <c:pt idx="208">
                  <c:v>7845.7579999999998</c:v>
                </c:pt>
                <c:pt idx="209">
                  <c:v>7852.8625000000002</c:v>
                </c:pt>
                <c:pt idx="210">
                  <c:v>7853.4719999999998</c:v>
                </c:pt>
                <c:pt idx="211">
                  <c:v>7853.7254999999996</c:v>
                </c:pt>
                <c:pt idx="212">
                  <c:v>7855.6355000000003</c:v>
                </c:pt>
                <c:pt idx="213">
                  <c:v>7856.9189999999999</c:v>
                </c:pt>
                <c:pt idx="214">
                  <c:v>7857.8834999999999</c:v>
                </c:pt>
                <c:pt idx="215">
                  <c:v>7859.9</c:v>
                </c:pt>
                <c:pt idx="216">
                  <c:v>7860.1459999999997</c:v>
                </c:pt>
                <c:pt idx="217">
                  <c:v>7860.9870000000001</c:v>
                </c:pt>
                <c:pt idx="218">
                  <c:v>7864.0744999999997</c:v>
                </c:pt>
                <c:pt idx="219">
                  <c:v>7870.05</c:v>
                </c:pt>
                <c:pt idx="220">
                  <c:v>7871.9179999999997</c:v>
                </c:pt>
                <c:pt idx="221">
                  <c:v>7874.8905000000004</c:v>
                </c:pt>
                <c:pt idx="222">
                  <c:v>7876.6355000000003</c:v>
                </c:pt>
                <c:pt idx="223">
                  <c:v>7883.5659999999998</c:v>
                </c:pt>
                <c:pt idx="224">
                  <c:v>7883.7915000000003</c:v>
                </c:pt>
                <c:pt idx="225">
                  <c:v>7884.8270000000002</c:v>
                </c:pt>
                <c:pt idx="226">
                  <c:v>7884.9989999999998</c:v>
                </c:pt>
                <c:pt idx="227">
                  <c:v>7886.0675000000001</c:v>
                </c:pt>
                <c:pt idx="228">
                  <c:v>7893.9944999999998</c:v>
                </c:pt>
                <c:pt idx="229">
                  <c:v>7897.9409999999998</c:v>
                </c:pt>
                <c:pt idx="230">
                  <c:v>7902.8410000000003</c:v>
                </c:pt>
                <c:pt idx="231">
                  <c:v>7905.241</c:v>
                </c:pt>
                <c:pt idx="232">
                  <c:v>7906.3665000000001</c:v>
                </c:pt>
                <c:pt idx="233">
                  <c:v>7906.857</c:v>
                </c:pt>
                <c:pt idx="234">
                  <c:v>7908.3429999999998</c:v>
                </c:pt>
                <c:pt idx="235">
                  <c:v>7915.2430000000004</c:v>
                </c:pt>
                <c:pt idx="236">
                  <c:v>7918.5225</c:v>
                </c:pt>
                <c:pt idx="237">
                  <c:v>7920.7520000000004</c:v>
                </c:pt>
                <c:pt idx="238">
                  <c:v>7922.9859999999999</c:v>
                </c:pt>
                <c:pt idx="239">
                  <c:v>7925.1220000000003</c:v>
                </c:pt>
                <c:pt idx="240">
                  <c:v>7925.9695000000002</c:v>
                </c:pt>
                <c:pt idx="241">
                  <c:v>7926.7494999999999</c:v>
                </c:pt>
                <c:pt idx="242">
                  <c:v>7929.518</c:v>
                </c:pt>
                <c:pt idx="243">
                  <c:v>7935.6085000000003</c:v>
                </c:pt>
                <c:pt idx="244">
                  <c:v>7936.6045000000004</c:v>
                </c:pt>
                <c:pt idx="245">
                  <c:v>7937.7370000000001</c:v>
                </c:pt>
                <c:pt idx="246">
                  <c:v>7940.81</c:v>
                </c:pt>
                <c:pt idx="247">
                  <c:v>7945.1205</c:v>
                </c:pt>
                <c:pt idx="248">
                  <c:v>7947.0855000000001</c:v>
                </c:pt>
                <c:pt idx="249">
                  <c:v>7951.8085000000001</c:v>
                </c:pt>
                <c:pt idx="250">
                  <c:v>7959.1374999999998</c:v>
                </c:pt>
                <c:pt idx="251">
                  <c:v>7960.1205</c:v>
                </c:pt>
                <c:pt idx="252">
                  <c:v>7961.2614999999996</c:v>
                </c:pt>
                <c:pt idx="253">
                  <c:v>7962.4629999999997</c:v>
                </c:pt>
                <c:pt idx="254">
                  <c:v>7963.4</c:v>
                </c:pt>
                <c:pt idx="255">
                  <c:v>7963.4709999999995</c:v>
                </c:pt>
                <c:pt idx="256">
                  <c:v>7969.4690000000001</c:v>
                </c:pt>
                <c:pt idx="257">
                  <c:v>7970.0604999999996</c:v>
                </c:pt>
                <c:pt idx="258">
                  <c:v>7972.1035000000002</c:v>
                </c:pt>
                <c:pt idx="259">
                  <c:v>7975.643</c:v>
                </c:pt>
                <c:pt idx="260">
                  <c:v>7977.6885000000002</c:v>
                </c:pt>
                <c:pt idx="261">
                  <c:v>7980.7830000000004</c:v>
                </c:pt>
                <c:pt idx="262">
                  <c:v>7980.9835000000003</c:v>
                </c:pt>
                <c:pt idx="263">
                  <c:v>7983.9319999999998</c:v>
                </c:pt>
                <c:pt idx="264">
                  <c:v>7984.3720000000003</c:v>
                </c:pt>
                <c:pt idx="265">
                  <c:v>7986.7969999999996</c:v>
                </c:pt>
                <c:pt idx="266">
                  <c:v>7990.0720000000001</c:v>
                </c:pt>
                <c:pt idx="267">
                  <c:v>7990.2120000000004</c:v>
                </c:pt>
                <c:pt idx="268">
                  <c:v>7990.6085000000003</c:v>
                </c:pt>
                <c:pt idx="269">
                  <c:v>7993.2484999999997</c:v>
                </c:pt>
                <c:pt idx="270">
                  <c:v>7997.3360000000002</c:v>
                </c:pt>
                <c:pt idx="271">
                  <c:v>7997.4234999999999</c:v>
                </c:pt>
                <c:pt idx="272">
                  <c:v>7999.6049999999996</c:v>
                </c:pt>
                <c:pt idx="273">
                  <c:v>8001.7690000000002</c:v>
                </c:pt>
                <c:pt idx="274">
                  <c:v>8007.4264999999996</c:v>
                </c:pt>
                <c:pt idx="275">
                  <c:v>8009.7825000000003</c:v>
                </c:pt>
                <c:pt idx="276">
                  <c:v>8021.3149999999996</c:v>
                </c:pt>
                <c:pt idx="277">
                  <c:v>8023.3235000000004</c:v>
                </c:pt>
                <c:pt idx="278">
                  <c:v>8023.8474999999999</c:v>
                </c:pt>
                <c:pt idx="279">
                  <c:v>8035.2015000000001</c:v>
                </c:pt>
                <c:pt idx="280">
                  <c:v>8040.4274999999998</c:v>
                </c:pt>
                <c:pt idx="281">
                  <c:v>8041.1109999999999</c:v>
                </c:pt>
                <c:pt idx="282">
                  <c:v>8043.9570000000003</c:v>
                </c:pt>
                <c:pt idx="283">
                  <c:v>8048.9660000000003</c:v>
                </c:pt>
                <c:pt idx="284">
                  <c:v>8049.7780000000002</c:v>
                </c:pt>
                <c:pt idx="285">
                  <c:v>8052.2049999999999</c:v>
                </c:pt>
                <c:pt idx="286">
                  <c:v>8053.9144999999999</c:v>
                </c:pt>
                <c:pt idx="287">
                  <c:v>8055.4684999999999</c:v>
                </c:pt>
                <c:pt idx="288">
                  <c:v>8057.5020000000004</c:v>
                </c:pt>
                <c:pt idx="289">
                  <c:v>8060.13</c:v>
                </c:pt>
                <c:pt idx="290">
                  <c:v>8066.643</c:v>
                </c:pt>
                <c:pt idx="291">
                  <c:v>8071.6880000000001</c:v>
                </c:pt>
                <c:pt idx="292">
                  <c:v>8072.3924999999999</c:v>
                </c:pt>
                <c:pt idx="293">
                  <c:v>8079.2735000000002</c:v>
                </c:pt>
                <c:pt idx="294">
                  <c:v>8082.1424999999999</c:v>
                </c:pt>
                <c:pt idx="295">
                  <c:v>8084.9454999999998</c:v>
                </c:pt>
                <c:pt idx="296">
                  <c:v>8088.2809999999999</c:v>
                </c:pt>
                <c:pt idx="297">
                  <c:v>8090.9080000000004</c:v>
                </c:pt>
                <c:pt idx="298">
                  <c:v>8091.2044999999998</c:v>
                </c:pt>
                <c:pt idx="299">
                  <c:v>8092.3924999999999</c:v>
                </c:pt>
                <c:pt idx="300">
                  <c:v>8093.2690000000002</c:v>
                </c:pt>
                <c:pt idx="301">
                  <c:v>8094.0334999999995</c:v>
                </c:pt>
                <c:pt idx="302">
                  <c:v>8097.8215</c:v>
                </c:pt>
                <c:pt idx="303">
                  <c:v>8107.5320000000002</c:v>
                </c:pt>
                <c:pt idx="304">
                  <c:v>8110.0055000000002</c:v>
                </c:pt>
                <c:pt idx="305">
                  <c:v>8113.4250000000002</c:v>
                </c:pt>
                <c:pt idx="306">
                  <c:v>8115.2455</c:v>
                </c:pt>
                <c:pt idx="307">
                  <c:v>8115.5410000000002</c:v>
                </c:pt>
                <c:pt idx="308">
                  <c:v>8117.1030000000001</c:v>
                </c:pt>
                <c:pt idx="309">
                  <c:v>8117.3890000000001</c:v>
                </c:pt>
                <c:pt idx="310">
                  <c:v>8118.8275000000003</c:v>
                </c:pt>
                <c:pt idx="311">
                  <c:v>8120.4414999999999</c:v>
                </c:pt>
                <c:pt idx="312">
                  <c:v>8127.683</c:v>
                </c:pt>
                <c:pt idx="313">
                  <c:v>8133.8924999999999</c:v>
                </c:pt>
                <c:pt idx="314">
                  <c:v>8142.4930000000004</c:v>
                </c:pt>
                <c:pt idx="315">
                  <c:v>8143.1525000000001</c:v>
                </c:pt>
                <c:pt idx="316">
                  <c:v>8149.65</c:v>
                </c:pt>
                <c:pt idx="317">
                  <c:v>8154.1944999999996</c:v>
                </c:pt>
                <c:pt idx="318">
                  <c:v>8156.42</c:v>
                </c:pt>
                <c:pt idx="319">
                  <c:v>8158.3474999999999</c:v>
                </c:pt>
                <c:pt idx="320">
                  <c:v>8163.1764999999996</c:v>
                </c:pt>
                <c:pt idx="321">
                  <c:v>8166.2494999999999</c:v>
                </c:pt>
                <c:pt idx="322">
                  <c:v>8167.6205</c:v>
                </c:pt>
                <c:pt idx="323">
                  <c:v>8170.0254999999997</c:v>
                </c:pt>
                <c:pt idx="324">
                  <c:v>8170.2595000000001</c:v>
                </c:pt>
                <c:pt idx="325">
                  <c:v>8172.5915000000005</c:v>
                </c:pt>
                <c:pt idx="326">
                  <c:v>8173.1925000000001</c:v>
                </c:pt>
                <c:pt idx="327">
                  <c:v>8173.6379999999999</c:v>
                </c:pt>
                <c:pt idx="328">
                  <c:v>8174.5290000000005</c:v>
                </c:pt>
                <c:pt idx="329">
                  <c:v>8175.2664999999997</c:v>
                </c:pt>
                <c:pt idx="330">
                  <c:v>8182.5805</c:v>
                </c:pt>
                <c:pt idx="331">
                  <c:v>8187.067</c:v>
                </c:pt>
                <c:pt idx="332">
                  <c:v>8187.8360000000002</c:v>
                </c:pt>
                <c:pt idx="333">
                  <c:v>8190.4229999999998</c:v>
                </c:pt>
                <c:pt idx="334">
                  <c:v>8193.3240000000005</c:v>
                </c:pt>
                <c:pt idx="335">
                  <c:v>8193.7919999999995</c:v>
                </c:pt>
                <c:pt idx="336">
                  <c:v>8195.9680000000008</c:v>
                </c:pt>
                <c:pt idx="337">
                  <c:v>8200.8739999999998</c:v>
                </c:pt>
                <c:pt idx="338">
                  <c:v>8202.2664999999997</c:v>
                </c:pt>
                <c:pt idx="339">
                  <c:v>8206.5874999999996</c:v>
                </c:pt>
                <c:pt idx="340">
                  <c:v>8207.5244999999995</c:v>
                </c:pt>
                <c:pt idx="341">
                  <c:v>8208.2975000000006</c:v>
                </c:pt>
                <c:pt idx="342">
                  <c:v>8210.4660000000003</c:v>
                </c:pt>
                <c:pt idx="343">
                  <c:v>8214.8690000000006</c:v>
                </c:pt>
                <c:pt idx="344">
                  <c:v>8217.518</c:v>
                </c:pt>
                <c:pt idx="345">
                  <c:v>8217.8549999999996</c:v>
                </c:pt>
                <c:pt idx="346">
                  <c:v>8218.1830000000009</c:v>
                </c:pt>
                <c:pt idx="347">
                  <c:v>8219.9475000000002</c:v>
                </c:pt>
                <c:pt idx="348">
                  <c:v>8221.1049999999996</c:v>
                </c:pt>
                <c:pt idx="349">
                  <c:v>8221.5069999999996</c:v>
                </c:pt>
                <c:pt idx="350">
                  <c:v>8224.3700000000008</c:v>
                </c:pt>
                <c:pt idx="351">
                  <c:v>8226.6384999999991</c:v>
                </c:pt>
                <c:pt idx="352">
                  <c:v>8228.8310000000001</c:v>
                </c:pt>
                <c:pt idx="353">
                  <c:v>8234.5275000000001</c:v>
                </c:pt>
                <c:pt idx="354">
                  <c:v>8236.2564999999995</c:v>
                </c:pt>
                <c:pt idx="355">
                  <c:v>8238.0385000000006</c:v>
                </c:pt>
                <c:pt idx="356">
                  <c:v>8238.5650000000005</c:v>
                </c:pt>
                <c:pt idx="357">
                  <c:v>8240.5195000000003</c:v>
                </c:pt>
                <c:pt idx="358">
                  <c:v>8243.6744999999992</c:v>
                </c:pt>
                <c:pt idx="359">
                  <c:v>8254.5665000000008</c:v>
                </c:pt>
                <c:pt idx="360">
                  <c:v>8261.4804999999997</c:v>
                </c:pt>
                <c:pt idx="361">
                  <c:v>8265.8709999999992</c:v>
                </c:pt>
                <c:pt idx="362">
                  <c:v>8267.5755000000008</c:v>
                </c:pt>
                <c:pt idx="363">
                  <c:v>8271.9429999999993</c:v>
                </c:pt>
                <c:pt idx="364">
                  <c:v>8274.3705000000009</c:v>
                </c:pt>
                <c:pt idx="365">
                  <c:v>8274.3850000000002</c:v>
                </c:pt>
                <c:pt idx="366">
                  <c:v>8284.6684999999998</c:v>
                </c:pt>
                <c:pt idx="367">
                  <c:v>8285.2384999999995</c:v>
                </c:pt>
                <c:pt idx="368">
                  <c:v>8290.4660000000003</c:v>
                </c:pt>
                <c:pt idx="369">
                  <c:v>8303.1090000000004</c:v>
                </c:pt>
                <c:pt idx="370">
                  <c:v>8305.1919999999991</c:v>
                </c:pt>
                <c:pt idx="371">
                  <c:v>8305.8889999999992</c:v>
                </c:pt>
                <c:pt idx="372">
                  <c:v>8307.6309999999994</c:v>
                </c:pt>
                <c:pt idx="373">
                  <c:v>8309.5565000000006</c:v>
                </c:pt>
                <c:pt idx="374">
                  <c:v>8317.5845000000008</c:v>
                </c:pt>
                <c:pt idx="375">
                  <c:v>8322.8714999999993</c:v>
                </c:pt>
                <c:pt idx="376">
                  <c:v>8325.1365000000005</c:v>
                </c:pt>
                <c:pt idx="377">
                  <c:v>8330.7095000000008</c:v>
                </c:pt>
                <c:pt idx="378">
                  <c:v>8334.3824999999997</c:v>
                </c:pt>
                <c:pt idx="379">
                  <c:v>8343.5419999999995</c:v>
                </c:pt>
                <c:pt idx="380">
                  <c:v>8346.3860000000004</c:v>
                </c:pt>
                <c:pt idx="381">
                  <c:v>8349.7075000000004</c:v>
                </c:pt>
                <c:pt idx="382">
                  <c:v>8356.4495000000006</c:v>
                </c:pt>
                <c:pt idx="383">
                  <c:v>8357.8155000000006</c:v>
                </c:pt>
                <c:pt idx="384">
                  <c:v>8361.1144999999997</c:v>
                </c:pt>
                <c:pt idx="385">
                  <c:v>8366.4295000000002</c:v>
                </c:pt>
                <c:pt idx="386">
                  <c:v>8370.6810000000005</c:v>
                </c:pt>
                <c:pt idx="387">
                  <c:v>8380.6124999999993</c:v>
                </c:pt>
                <c:pt idx="388">
                  <c:v>8381.7939999999999</c:v>
                </c:pt>
                <c:pt idx="389">
                  <c:v>8382.8760000000002</c:v>
                </c:pt>
                <c:pt idx="390">
                  <c:v>8383.6049999999996</c:v>
                </c:pt>
                <c:pt idx="391">
                  <c:v>8383.8040000000001</c:v>
                </c:pt>
                <c:pt idx="392">
                  <c:v>8383.884</c:v>
                </c:pt>
                <c:pt idx="393">
                  <c:v>8387.5509999999995</c:v>
                </c:pt>
                <c:pt idx="394">
                  <c:v>8388.0895</c:v>
                </c:pt>
                <c:pt idx="395">
                  <c:v>8389.5720000000001</c:v>
                </c:pt>
                <c:pt idx="396">
                  <c:v>8395.6640000000007</c:v>
                </c:pt>
                <c:pt idx="397">
                  <c:v>8398.2510000000002</c:v>
                </c:pt>
                <c:pt idx="398">
                  <c:v>8399.0079999999998</c:v>
                </c:pt>
                <c:pt idx="399">
                  <c:v>8399.268</c:v>
                </c:pt>
                <c:pt idx="400">
                  <c:v>8399.4639999999999</c:v>
                </c:pt>
                <c:pt idx="401">
                  <c:v>8400.2819999999992</c:v>
                </c:pt>
                <c:pt idx="402">
                  <c:v>8401.1010000000006</c:v>
                </c:pt>
                <c:pt idx="403">
                  <c:v>8401.48</c:v>
                </c:pt>
                <c:pt idx="404">
                  <c:v>8408.1859999999997</c:v>
                </c:pt>
                <c:pt idx="405">
                  <c:v>8409.7019999999993</c:v>
                </c:pt>
                <c:pt idx="406">
                  <c:v>8412.6229999999996</c:v>
                </c:pt>
                <c:pt idx="407">
                  <c:v>8412.9189999999999</c:v>
                </c:pt>
                <c:pt idx="408">
                  <c:v>8414.0959999999995</c:v>
                </c:pt>
                <c:pt idx="409">
                  <c:v>8420.402</c:v>
                </c:pt>
                <c:pt idx="410">
                  <c:v>8428.6589999999997</c:v>
                </c:pt>
                <c:pt idx="411">
                  <c:v>8433.4279999999999</c:v>
                </c:pt>
                <c:pt idx="412">
                  <c:v>8441.41</c:v>
                </c:pt>
                <c:pt idx="413">
                  <c:v>8446.7080000000005</c:v>
                </c:pt>
                <c:pt idx="414">
                  <c:v>8447.384</c:v>
                </c:pt>
                <c:pt idx="415">
                  <c:v>8448.2780000000002</c:v>
                </c:pt>
                <c:pt idx="416">
                  <c:v>8448.7389999999996</c:v>
                </c:pt>
                <c:pt idx="417">
                  <c:v>8450.4580000000005</c:v>
                </c:pt>
                <c:pt idx="418">
                  <c:v>8451.7690000000002</c:v>
                </c:pt>
                <c:pt idx="419">
                  <c:v>8451.7999999999993</c:v>
                </c:pt>
                <c:pt idx="420">
                  <c:v>8452.7340000000004</c:v>
                </c:pt>
                <c:pt idx="421">
                  <c:v>8456.7980000000007</c:v>
                </c:pt>
                <c:pt idx="422">
                  <c:v>8459.1759999999995</c:v>
                </c:pt>
                <c:pt idx="423">
                  <c:v>8460.8169999999991</c:v>
                </c:pt>
                <c:pt idx="424">
                  <c:v>8467.5310000000009</c:v>
                </c:pt>
                <c:pt idx="425">
                  <c:v>8469.768</c:v>
                </c:pt>
                <c:pt idx="426">
                  <c:v>8471.0190000000002</c:v>
                </c:pt>
                <c:pt idx="427">
                  <c:v>8473.3580000000002</c:v>
                </c:pt>
                <c:pt idx="428">
                  <c:v>8474.19</c:v>
                </c:pt>
                <c:pt idx="429">
                  <c:v>8480.9030000000002</c:v>
                </c:pt>
                <c:pt idx="430">
                  <c:v>8482.3809999999994</c:v>
                </c:pt>
                <c:pt idx="431">
                  <c:v>8489.009</c:v>
                </c:pt>
                <c:pt idx="432">
                  <c:v>8492.3189999999995</c:v>
                </c:pt>
                <c:pt idx="433">
                  <c:v>8512.2909999999993</c:v>
                </c:pt>
                <c:pt idx="434">
                  <c:v>8512.8919999999998</c:v>
                </c:pt>
                <c:pt idx="435">
                  <c:v>8524.4330000000009</c:v>
                </c:pt>
                <c:pt idx="436">
                  <c:v>8528.5619999999999</c:v>
                </c:pt>
                <c:pt idx="437">
                  <c:v>8533.6200000000008</c:v>
                </c:pt>
                <c:pt idx="438">
                  <c:v>8537.1939999999995</c:v>
                </c:pt>
                <c:pt idx="439">
                  <c:v>8551.7099999999991</c:v>
                </c:pt>
                <c:pt idx="440">
                  <c:v>8556.1790000000001</c:v>
                </c:pt>
                <c:pt idx="441">
                  <c:v>8557.2070000000003</c:v>
                </c:pt>
                <c:pt idx="442">
                  <c:v>8559.884</c:v>
                </c:pt>
                <c:pt idx="443">
                  <c:v>8570.3829999999998</c:v>
                </c:pt>
                <c:pt idx="444">
                  <c:v>8589.1630000000005</c:v>
                </c:pt>
                <c:pt idx="445">
                  <c:v>8590.4979999999996</c:v>
                </c:pt>
                <c:pt idx="446">
                  <c:v>8591.4539999999997</c:v>
                </c:pt>
                <c:pt idx="447">
                  <c:v>8608.0079999999998</c:v>
                </c:pt>
                <c:pt idx="448">
                  <c:v>8633.7919999999995</c:v>
                </c:pt>
                <c:pt idx="449">
                  <c:v>8643.0540000000001</c:v>
                </c:pt>
                <c:pt idx="450">
                  <c:v>8643.2180000000008</c:v>
                </c:pt>
                <c:pt idx="451">
                  <c:v>8653.107</c:v>
                </c:pt>
                <c:pt idx="452">
                  <c:v>8655.5169999999998</c:v>
                </c:pt>
                <c:pt idx="453">
                  <c:v>8655.7440000000006</c:v>
                </c:pt>
                <c:pt idx="454">
                  <c:v>8656.6949999999997</c:v>
                </c:pt>
                <c:pt idx="455">
                  <c:v>8665.4860000000008</c:v>
                </c:pt>
                <c:pt idx="456">
                  <c:v>8665.6290000000008</c:v>
                </c:pt>
                <c:pt idx="457">
                  <c:v>8667.7729999999992</c:v>
                </c:pt>
                <c:pt idx="458">
                  <c:v>8668.2860000000001</c:v>
                </c:pt>
                <c:pt idx="459">
                  <c:v>8683.5159999999996</c:v>
                </c:pt>
                <c:pt idx="460">
                  <c:v>8684.5239999999994</c:v>
                </c:pt>
                <c:pt idx="461">
                  <c:v>8684.5779999999995</c:v>
                </c:pt>
                <c:pt idx="462">
                  <c:v>8694.4439999999995</c:v>
                </c:pt>
                <c:pt idx="463">
                  <c:v>8705.9740000000002</c:v>
                </c:pt>
                <c:pt idx="464">
                  <c:v>8714.0210000000006</c:v>
                </c:pt>
                <c:pt idx="465">
                  <c:v>8716.9040000000005</c:v>
                </c:pt>
                <c:pt idx="466">
                  <c:v>8722.4009999999998</c:v>
                </c:pt>
                <c:pt idx="467">
                  <c:v>8724.1110000000008</c:v>
                </c:pt>
                <c:pt idx="468">
                  <c:v>8728.2630000000008</c:v>
                </c:pt>
                <c:pt idx="469">
                  <c:v>8729.9629999999997</c:v>
                </c:pt>
                <c:pt idx="470">
                  <c:v>8730.2420000000002</c:v>
                </c:pt>
                <c:pt idx="471">
                  <c:v>8731.4330000000009</c:v>
                </c:pt>
                <c:pt idx="472">
                  <c:v>8733.8320000000003</c:v>
                </c:pt>
                <c:pt idx="473">
                  <c:v>8736.0990000000002</c:v>
                </c:pt>
                <c:pt idx="474">
                  <c:v>8752.4040000000005</c:v>
                </c:pt>
                <c:pt idx="475">
                  <c:v>8756.7199999999993</c:v>
                </c:pt>
                <c:pt idx="476">
                  <c:v>8763.2289999999994</c:v>
                </c:pt>
                <c:pt idx="477">
                  <c:v>8764.6450000000004</c:v>
                </c:pt>
                <c:pt idx="478">
                  <c:v>8775.3379999999997</c:v>
                </c:pt>
                <c:pt idx="479">
                  <c:v>8779.8619999999992</c:v>
                </c:pt>
                <c:pt idx="480">
                  <c:v>8780.4259999999995</c:v>
                </c:pt>
                <c:pt idx="481">
                  <c:v>8782.0609999999997</c:v>
                </c:pt>
                <c:pt idx="482">
                  <c:v>8790.1589999999997</c:v>
                </c:pt>
                <c:pt idx="483">
                  <c:v>8792.875</c:v>
                </c:pt>
                <c:pt idx="484">
                  <c:v>8803.2039999999997</c:v>
                </c:pt>
                <c:pt idx="485">
                  <c:v>8812.0720000000001</c:v>
                </c:pt>
                <c:pt idx="486">
                  <c:v>8814.3320000000003</c:v>
                </c:pt>
                <c:pt idx="487">
                  <c:v>8818.0010000000002</c:v>
                </c:pt>
                <c:pt idx="488">
                  <c:v>8821.8619999999992</c:v>
                </c:pt>
                <c:pt idx="489">
                  <c:v>8824.6080000000002</c:v>
                </c:pt>
                <c:pt idx="490">
                  <c:v>8827.4240000000009</c:v>
                </c:pt>
                <c:pt idx="491">
                  <c:v>8839.7549999999992</c:v>
                </c:pt>
                <c:pt idx="492">
                  <c:v>8839.8420000000006</c:v>
                </c:pt>
                <c:pt idx="493">
                  <c:v>8841.2720000000008</c:v>
                </c:pt>
                <c:pt idx="494">
                  <c:v>8842.6769999999997</c:v>
                </c:pt>
                <c:pt idx="495">
                  <c:v>8850.2890000000007</c:v>
                </c:pt>
                <c:pt idx="496">
                  <c:v>8851.7990000000009</c:v>
                </c:pt>
                <c:pt idx="497">
                  <c:v>8854.6990000000005</c:v>
                </c:pt>
                <c:pt idx="498">
                  <c:v>8859.0460000000003</c:v>
                </c:pt>
                <c:pt idx="499">
                  <c:v>8863.7839999999997</c:v>
                </c:pt>
                <c:pt idx="500">
                  <c:v>8870.7739999999994</c:v>
                </c:pt>
                <c:pt idx="501">
                  <c:v>8871.652</c:v>
                </c:pt>
                <c:pt idx="502">
                  <c:v>8876.8379999999997</c:v>
                </c:pt>
                <c:pt idx="503">
                  <c:v>8885.3369999999995</c:v>
                </c:pt>
                <c:pt idx="504">
                  <c:v>8892.9590000000007</c:v>
                </c:pt>
                <c:pt idx="505">
                  <c:v>8895.6020000000008</c:v>
                </c:pt>
                <c:pt idx="506">
                  <c:v>8901.1659999999993</c:v>
                </c:pt>
                <c:pt idx="507">
                  <c:v>8903.2620000000006</c:v>
                </c:pt>
                <c:pt idx="508">
                  <c:v>8905.3719999999994</c:v>
                </c:pt>
                <c:pt idx="509">
                  <c:v>8921.7090000000007</c:v>
                </c:pt>
                <c:pt idx="510">
                  <c:v>8923.5460000000003</c:v>
                </c:pt>
                <c:pt idx="511">
                  <c:v>8924.4150000000009</c:v>
                </c:pt>
                <c:pt idx="512">
                  <c:v>8948.5750000000007</c:v>
                </c:pt>
                <c:pt idx="513">
                  <c:v>8978.2309999999998</c:v>
                </c:pt>
                <c:pt idx="514">
                  <c:v>8987.5910000000003</c:v>
                </c:pt>
                <c:pt idx="515">
                  <c:v>8991.6389999999992</c:v>
                </c:pt>
                <c:pt idx="516">
                  <c:v>8994.1530000000002</c:v>
                </c:pt>
                <c:pt idx="517">
                  <c:v>9023.4920000000002</c:v>
                </c:pt>
                <c:pt idx="518">
                  <c:v>9028.2540000000008</c:v>
                </c:pt>
                <c:pt idx="519">
                  <c:v>9029.0239999999994</c:v>
                </c:pt>
                <c:pt idx="520">
                  <c:v>9030.8670000000002</c:v>
                </c:pt>
                <c:pt idx="521">
                  <c:v>9033.1540000000005</c:v>
                </c:pt>
                <c:pt idx="522">
                  <c:v>9044.866</c:v>
                </c:pt>
                <c:pt idx="523">
                  <c:v>9045.8349999999991</c:v>
                </c:pt>
                <c:pt idx="524">
                  <c:v>9076.3490000000002</c:v>
                </c:pt>
                <c:pt idx="525">
                  <c:v>9080.48</c:v>
                </c:pt>
                <c:pt idx="526">
                  <c:v>9090.8520000000008</c:v>
                </c:pt>
                <c:pt idx="527">
                  <c:v>9091.0229999999992</c:v>
                </c:pt>
                <c:pt idx="528">
                  <c:v>9092.2489999999998</c:v>
                </c:pt>
                <c:pt idx="529">
                  <c:v>9092.8179999999993</c:v>
                </c:pt>
                <c:pt idx="530">
                  <c:v>9102.1749999999993</c:v>
                </c:pt>
                <c:pt idx="531">
                  <c:v>9108.5079999999998</c:v>
                </c:pt>
                <c:pt idx="532">
                  <c:v>9120.7669999999998</c:v>
                </c:pt>
                <c:pt idx="533">
                  <c:v>9148.0249999999996</c:v>
                </c:pt>
                <c:pt idx="534">
                  <c:v>9156.7540000000008</c:v>
                </c:pt>
                <c:pt idx="535">
                  <c:v>9182.3259999999991</c:v>
                </c:pt>
                <c:pt idx="536">
                  <c:v>9188.33</c:v>
                </c:pt>
                <c:pt idx="537">
                  <c:v>9238.6239999999998</c:v>
                </c:pt>
                <c:pt idx="538">
                  <c:v>9340.0630000000001</c:v>
                </c:pt>
                <c:pt idx="539">
                  <c:v>9555.4750000000004</c:v>
                </c:pt>
                <c:pt idx="540">
                  <c:v>9839.358405149329</c:v>
                </c:pt>
              </c:numCache>
            </c:numRef>
          </c:xVal>
          <c:yVal>
            <c:numRef>
              <c:f>Extrapolation!$D$12:$D$552</c:f>
              <c:numCache>
                <c:formatCode>General</c:formatCode>
                <c:ptCount val="541"/>
                <c:pt idx="0">
                  <c:v>0.95949654396460093</c:v>
                </c:pt>
                <c:pt idx="1">
                  <c:v>0.94340566245166591</c:v>
                </c:pt>
                <c:pt idx="2">
                  <c:v>0.92731478093873088</c:v>
                </c:pt>
                <c:pt idx="3">
                  <c:v>0.91122389942579585</c:v>
                </c:pt>
                <c:pt idx="4">
                  <c:v>0.89513301791286082</c:v>
                </c:pt>
                <c:pt idx="5">
                  <c:v>0.87904213639992579</c:v>
                </c:pt>
                <c:pt idx="6">
                  <c:v>0.86295125488699076</c:v>
                </c:pt>
                <c:pt idx="7">
                  <c:v>0.84686037337405573</c:v>
                </c:pt>
                <c:pt idx="8">
                  <c:v>0.8307694918611207</c:v>
                </c:pt>
                <c:pt idx="9">
                  <c:v>0.81467861034818567</c:v>
                </c:pt>
                <c:pt idx="10">
                  <c:v>0.79858772883525064</c:v>
                </c:pt>
                <c:pt idx="11">
                  <c:v>0.78249684732231561</c:v>
                </c:pt>
                <c:pt idx="12">
                  <c:v>0.76640596580938058</c:v>
                </c:pt>
                <c:pt idx="13">
                  <c:v>0.75031508429644556</c:v>
                </c:pt>
                <c:pt idx="14">
                  <c:v>0.73422420278351053</c:v>
                </c:pt>
                <c:pt idx="15">
                  <c:v>0.7181333212705755</c:v>
                </c:pt>
                <c:pt idx="16">
                  <c:v>0.70141461483006351</c:v>
                </c:pt>
                <c:pt idx="17">
                  <c:v>0.68469590838955152</c:v>
                </c:pt>
                <c:pt idx="18">
                  <c:v>0.66797720194903953</c:v>
                </c:pt>
                <c:pt idx="19">
                  <c:v>0.65125849550852755</c:v>
                </c:pt>
                <c:pt idx="20">
                  <c:v>0.63453978906801556</c:v>
                </c:pt>
                <c:pt idx="21">
                  <c:v>0.61782108262750357</c:v>
                </c:pt>
                <c:pt idx="22">
                  <c:v>0.60110237618699158</c:v>
                </c:pt>
                <c:pt idx="23">
                  <c:v>0.58438366974647959</c:v>
                </c:pt>
                <c:pt idx="24">
                  <c:v>0.56766496330596761</c:v>
                </c:pt>
                <c:pt idx="25">
                  <c:v>0.55094625686545562</c:v>
                </c:pt>
                <c:pt idx="26">
                  <c:v>0.53422755042494363</c:v>
                </c:pt>
                <c:pt idx="27">
                  <c:v>0.51750884398443164</c:v>
                </c:pt>
                <c:pt idx="28">
                  <c:v>0.50079013754391966</c:v>
                </c:pt>
                <c:pt idx="29">
                  <c:v>0.48407143110340772</c:v>
                </c:pt>
                <c:pt idx="30">
                  <c:v>0.46735272466289579</c:v>
                </c:pt>
                <c:pt idx="31">
                  <c:v>0.46385593402994452</c:v>
                </c:pt>
                <c:pt idx="32">
                  <c:v>0.46035914339699324</c:v>
                </c:pt>
                <c:pt idx="33">
                  <c:v>0.45686235276404197</c:v>
                </c:pt>
                <c:pt idx="34">
                  <c:v>0.45336556213109069</c:v>
                </c:pt>
                <c:pt idx="35">
                  <c:v>0.44986877149813942</c:v>
                </c:pt>
                <c:pt idx="36">
                  <c:v>0.44637198086518814</c:v>
                </c:pt>
                <c:pt idx="37">
                  <c:v>0.44287519023223687</c:v>
                </c:pt>
                <c:pt idx="38">
                  <c:v>0.4393783995992856</c:v>
                </c:pt>
                <c:pt idx="39">
                  <c:v>0.43588160896633432</c:v>
                </c:pt>
                <c:pt idx="40">
                  <c:v>0.43238481833338305</c:v>
                </c:pt>
                <c:pt idx="41">
                  <c:v>0.42888802770043177</c:v>
                </c:pt>
                <c:pt idx="42">
                  <c:v>0.4253912370674805</c:v>
                </c:pt>
                <c:pt idx="43">
                  <c:v>0.42189444643452922</c:v>
                </c:pt>
                <c:pt idx="44">
                  <c:v>0.41839765580157795</c:v>
                </c:pt>
                <c:pt idx="45">
                  <c:v>0.41490086516862668</c:v>
                </c:pt>
                <c:pt idx="46">
                  <c:v>0.4114040745356754</c:v>
                </c:pt>
                <c:pt idx="47">
                  <c:v>0.40790728390272413</c:v>
                </c:pt>
                <c:pt idx="48">
                  <c:v>0.40441049326977285</c:v>
                </c:pt>
                <c:pt idx="49">
                  <c:v>0.40091370263682158</c:v>
                </c:pt>
                <c:pt idx="50">
                  <c:v>0.3974169120038703</c:v>
                </c:pt>
                <c:pt idx="51">
                  <c:v>0.39392012137091903</c:v>
                </c:pt>
                <c:pt idx="52">
                  <c:v>0.39042333073796776</c:v>
                </c:pt>
                <c:pt idx="53">
                  <c:v>0.38692654010501648</c:v>
                </c:pt>
                <c:pt idx="54">
                  <c:v>0.38342974947206521</c:v>
                </c:pt>
                <c:pt idx="55">
                  <c:v>0.37993295883911393</c:v>
                </c:pt>
                <c:pt idx="56">
                  <c:v>0.37643616820616266</c:v>
                </c:pt>
                <c:pt idx="57">
                  <c:v>0.37293937757321138</c:v>
                </c:pt>
                <c:pt idx="58">
                  <c:v>0.36944258694026011</c:v>
                </c:pt>
                <c:pt idx="59">
                  <c:v>0.36594579630730883</c:v>
                </c:pt>
                <c:pt idx="60">
                  <c:v>0.36244900567435756</c:v>
                </c:pt>
                <c:pt idx="61">
                  <c:v>0.35895221504140629</c:v>
                </c:pt>
                <c:pt idx="62">
                  <c:v>0.35545542440845501</c:v>
                </c:pt>
                <c:pt idx="63">
                  <c:v>0.35195863377550374</c:v>
                </c:pt>
                <c:pt idx="64">
                  <c:v>0.34846184314255246</c:v>
                </c:pt>
                <c:pt idx="65">
                  <c:v>0.34496505250960119</c:v>
                </c:pt>
                <c:pt idx="66">
                  <c:v>0.34146826187664991</c:v>
                </c:pt>
                <c:pt idx="67">
                  <c:v>0.33797147124369864</c:v>
                </c:pt>
                <c:pt idx="68">
                  <c:v>0.33447468061074737</c:v>
                </c:pt>
                <c:pt idx="69">
                  <c:v>0.33097788997779609</c:v>
                </c:pt>
                <c:pt idx="70">
                  <c:v>0.32748109934484482</c:v>
                </c:pt>
                <c:pt idx="71">
                  <c:v>0.32398430871189354</c:v>
                </c:pt>
                <c:pt idx="72">
                  <c:v>0.32048751807894227</c:v>
                </c:pt>
                <c:pt idx="73">
                  <c:v>0.31699072744599099</c:v>
                </c:pt>
                <c:pt idx="74">
                  <c:v>0.31349393681303972</c:v>
                </c:pt>
                <c:pt idx="75">
                  <c:v>0.30999714618008845</c:v>
                </c:pt>
                <c:pt idx="76">
                  <c:v>0.30650035554713717</c:v>
                </c:pt>
                <c:pt idx="77">
                  <c:v>0.3030035649141859</c:v>
                </c:pt>
                <c:pt idx="78">
                  <c:v>0.29950677428123462</c:v>
                </c:pt>
                <c:pt idx="79">
                  <c:v>0.29600998364828335</c:v>
                </c:pt>
                <c:pt idx="80">
                  <c:v>0.29251319301533207</c:v>
                </c:pt>
                <c:pt idx="81">
                  <c:v>0.2890164023823808</c:v>
                </c:pt>
                <c:pt idx="82">
                  <c:v>0.28551961174942952</c:v>
                </c:pt>
                <c:pt idx="83">
                  <c:v>0.28202282111647825</c:v>
                </c:pt>
                <c:pt idx="84">
                  <c:v>0.27852603048352698</c:v>
                </c:pt>
                <c:pt idx="85">
                  <c:v>0.2750292398505757</c:v>
                </c:pt>
                <c:pt idx="86">
                  <c:v>0.27153244921762443</c:v>
                </c:pt>
                <c:pt idx="87">
                  <c:v>0.26927551886238771</c:v>
                </c:pt>
                <c:pt idx="88">
                  <c:v>0.26577872822943643</c:v>
                </c:pt>
                <c:pt idx="89">
                  <c:v>0.26352179787419971</c:v>
                </c:pt>
                <c:pt idx="90">
                  <c:v>0.261264867518963</c:v>
                </c:pt>
                <c:pt idx="91">
                  <c:v>0.25900793716372628</c:v>
                </c:pt>
                <c:pt idx="92">
                  <c:v>0.25675100680848956</c:v>
                </c:pt>
                <c:pt idx="93">
                  <c:v>0.25449407645325284</c:v>
                </c:pt>
                <c:pt idx="94">
                  <c:v>0.25223714609801612</c:v>
                </c:pt>
                <c:pt idx="95">
                  <c:v>0.25102980306634515</c:v>
                </c:pt>
                <c:pt idx="96">
                  <c:v>0.24877287271110843</c:v>
                </c:pt>
                <c:pt idx="97">
                  <c:v>0.24651594235587174</c:v>
                </c:pt>
                <c:pt idx="98">
                  <c:v>0.24425901200063505</c:v>
                </c:pt>
                <c:pt idx="99">
                  <c:v>0.24076222136768377</c:v>
                </c:pt>
                <c:pt idx="100">
                  <c:v>0.23955487833601277</c:v>
                </c:pt>
                <c:pt idx="101">
                  <c:v>0.23729794798077608</c:v>
                </c:pt>
                <c:pt idx="102">
                  <c:v>0.23504101762553939</c:v>
                </c:pt>
                <c:pt idx="103">
                  <c:v>0.2327840872703027</c:v>
                </c:pt>
                <c:pt idx="104">
                  <c:v>0.23052715691506601</c:v>
                </c:pt>
                <c:pt idx="105">
                  <c:v>0.22931981388339501</c:v>
                </c:pt>
                <c:pt idx="106">
                  <c:v>0.22811247085172401</c:v>
                </c:pt>
                <c:pt idx="107">
                  <c:v>0.22585554049648732</c:v>
                </c:pt>
                <c:pt idx="108">
                  <c:v>0.22531342442591723</c:v>
                </c:pt>
                <c:pt idx="109">
                  <c:v>0.22305649407068054</c:v>
                </c:pt>
                <c:pt idx="110">
                  <c:v>0.22079956371544385</c:v>
                </c:pt>
                <c:pt idx="111">
                  <c:v>0.21854263336020716</c:v>
                </c:pt>
                <c:pt idx="112">
                  <c:v>0.21733529032853616</c:v>
                </c:pt>
                <c:pt idx="113">
                  <c:v>0.21507835997329947</c:v>
                </c:pt>
                <c:pt idx="114">
                  <c:v>0.21387101694162847</c:v>
                </c:pt>
                <c:pt idx="115">
                  <c:v>0.21161408658639178</c:v>
                </c:pt>
                <c:pt idx="116">
                  <c:v>0.20935715623115508</c:v>
                </c:pt>
                <c:pt idx="117">
                  <c:v>0.20710022587591839</c:v>
                </c:pt>
                <c:pt idx="118">
                  <c:v>0.2048432955206817</c:v>
                </c:pt>
                <c:pt idx="119">
                  <c:v>0.20258636516544501</c:v>
                </c:pt>
                <c:pt idx="120">
                  <c:v>0.20204424909487492</c:v>
                </c:pt>
                <c:pt idx="121">
                  <c:v>0.19978731873963823</c:v>
                </c:pt>
                <c:pt idx="122">
                  <c:v>0.19629052810668696</c:v>
                </c:pt>
                <c:pt idx="123">
                  <c:v>0.19403359775145027</c:v>
                </c:pt>
                <c:pt idx="124">
                  <c:v>0.19282625471977927</c:v>
                </c:pt>
                <c:pt idx="125">
                  <c:v>0.19228413864920918</c:v>
                </c:pt>
                <c:pt idx="126">
                  <c:v>0.19002720829397249</c:v>
                </c:pt>
                <c:pt idx="127">
                  <c:v>0.1877702779387358</c:v>
                </c:pt>
                <c:pt idx="128">
                  <c:v>0.18551334758349911</c:v>
                </c:pt>
                <c:pt idx="129">
                  <c:v>0.18325641722826241</c:v>
                </c:pt>
                <c:pt idx="130">
                  <c:v>0.18204907419659141</c:v>
                </c:pt>
                <c:pt idx="131">
                  <c:v>0.17979214384135472</c:v>
                </c:pt>
                <c:pt idx="132">
                  <c:v>0.17858480080968372</c:v>
                </c:pt>
                <c:pt idx="133">
                  <c:v>0.17632787045444703</c:v>
                </c:pt>
                <c:pt idx="134">
                  <c:v>0.17407094009921034</c:v>
                </c:pt>
                <c:pt idx="135">
                  <c:v>0.17181400974397365</c:v>
                </c:pt>
                <c:pt idx="136">
                  <c:v>0.16955707938873696</c:v>
                </c:pt>
                <c:pt idx="137">
                  <c:v>0.16730014903350027</c:v>
                </c:pt>
                <c:pt idx="138">
                  <c:v>0.16609280600182927</c:v>
                </c:pt>
                <c:pt idx="139">
                  <c:v>0.16488546297015827</c:v>
                </c:pt>
                <c:pt idx="140">
                  <c:v>0.16262853261492158</c:v>
                </c:pt>
                <c:pt idx="141">
                  <c:v>0.16037160225968489</c:v>
                </c:pt>
                <c:pt idx="142">
                  <c:v>0.15916425922801389</c:v>
                </c:pt>
                <c:pt idx="143">
                  <c:v>0.15795691619634289</c:v>
                </c:pt>
                <c:pt idx="144">
                  <c:v>0.15674957316467189</c:v>
                </c:pt>
                <c:pt idx="145">
                  <c:v>0.15554223013300089</c:v>
                </c:pt>
                <c:pt idx="146">
                  <c:v>0.1532852997777642</c:v>
                </c:pt>
                <c:pt idx="147">
                  <c:v>0.15274318370719411</c:v>
                </c:pt>
                <c:pt idx="148">
                  <c:v>0.15273502064669872</c:v>
                </c:pt>
                <c:pt idx="149">
                  <c:v>0.15047809029146203</c:v>
                </c:pt>
                <c:pt idx="150">
                  <c:v>0.14927074725979103</c:v>
                </c:pt>
                <c:pt idx="151">
                  <c:v>0.14922621637198816</c:v>
                </c:pt>
                <c:pt idx="152">
                  <c:v>0.14696928601675147</c:v>
                </c:pt>
                <c:pt idx="153">
                  <c:v>0.14471235566151477</c:v>
                </c:pt>
                <c:pt idx="154">
                  <c:v>0.14350501262984378</c:v>
                </c:pt>
                <c:pt idx="155">
                  <c:v>0.14229766959817278</c:v>
                </c:pt>
                <c:pt idx="156">
                  <c:v>0.14215967555494713</c:v>
                </c:pt>
                <c:pt idx="157">
                  <c:v>0.14095233252327613</c:v>
                </c:pt>
                <c:pt idx="158">
                  <c:v>0.13869540216803944</c:v>
                </c:pt>
                <c:pt idx="159">
                  <c:v>0.13748805913636844</c:v>
                </c:pt>
                <c:pt idx="160">
                  <c:v>0.13523112878113175</c:v>
                </c:pt>
                <c:pt idx="161">
                  <c:v>0.13297419842589506</c:v>
                </c:pt>
                <c:pt idx="162">
                  <c:v>0.13176685539422406</c:v>
                </c:pt>
                <c:pt idx="163">
                  <c:v>0.12950992503898737</c:v>
                </c:pt>
                <c:pt idx="164">
                  <c:v>0.12830258200731637</c:v>
                </c:pt>
                <c:pt idx="165">
                  <c:v>0.12816458796409072</c:v>
                </c:pt>
                <c:pt idx="166">
                  <c:v>0.12590765760885403</c:v>
                </c:pt>
                <c:pt idx="167">
                  <c:v>0.12576966356562838</c:v>
                </c:pt>
                <c:pt idx="168">
                  <c:v>0.12456232053395738</c:v>
                </c:pt>
                <c:pt idx="169">
                  <c:v>0.12335497750228638</c:v>
                </c:pt>
                <c:pt idx="170">
                  <c:v>0.12214763447061538</c:v>
                </c:pt>
                <c:pt idx="171">
                  <c:v>0.12094029143894439</c:v>
                </c:pt>
                <c:pt idx="172">
                  <c:v>0.11868336108370769</c:v>
                </c:pt>
                <c:pt idx="173">
                  <c:v>0.11814124501313762</c:v>
                </c:pt>
                <c:pt idx="174">
                  <c:v>0.11759912894256755</c:v>
                </c:pt>
                <c:pt idx="175">
                  <c:v>0.11759096588207216</c:v>
                </c:pt>
                <c:pt idx="176">
                  <c:v>0.11638362285040116</c:v>
                </c:pt>
                <c:pt idx="177">
                  <c:v>0.11517627981873016</c:v>
                </c:pt>
                <c:pt idx="178">
                  <c:v>0.11396893678705916</c:v>
                </c:pt>
                <c:pt idx="179">
                  <c:v>0.11276159375538816</c:v>
                </c:pt>
                <c:pt idx="180">
                  <c:v>0.11050466340015146</c:v>
                </c:pt>
                <c:pt idx="181">
                  <c:v>0.10929732036848046</c:v>
                </c:pt>
                <c:pt idx="182">
                  <c:v>0.10925278948067757</c:v>
                </c:pt>
                <c:pt idx="183">
                  <c:v>0.10804544644900657</c:v>
                </c:pt>
                <c:pt idx="184">
                  <c:v>0.10683810341733557</c:v>
                </c:pt>
                <c:pt idx="185">
                  <c:v>0.10458117306209888</c:v>
                </c:pt>
                <c:pt idx="186">
                  <c:v>0.10444317901887323</c:v>
                </c:pt>
                <c:pt idx="187">
                  <c:v>0.10323583598720223</c:v>
                </c:pt>
                <c:pt idx="188">
                  <c:v>0.10097890563196554</c:v>
                </c:pt>
                <c:pt idx="189">
                  <c:v>9.8721975276728852E-2</c:v>
                </c:pt>
                <c:pt idx="190">
                  <c:v>9.8677444388925964E-2</c:v>
                </c:pt>
                <c:pt idx="191">
                  <c:v>9.8135328318355891E-2</c:v>
                </c:pt>
                <c:pt idx="192">
                  <c:v>9.58783979631192E-2</c:v>
                </c:pt>
                <c:pt idx="193">
                  <c:v>9.4671054931448201E-2</c:v>
                </c:pt>
                <c:pt idx="194">
                  <c:v>9.3463711899777202E-2</c:v>
                </c:pt>
                <c:pt idx="195">
                  <c:v>9.2256368868106203E-2</c:v>
                </c:pt>
                <c:pt idx="196">
                  <c:v>9.2118374824880556E-2</c:v>
                </c:pt>
                <c:pt idx="197">
                  <c:v>9.1980380781654908E-2</c:v>
                </c:pt>
                <c:pt idx="198">
                  <c:v>8.9723450426418216E-2</c:v>
                </c:pt>
                <c:pt idx="199">
                  <c:v>8.7466520071181525E-2</c:v>
                </c:pt>
                <c:pt idx="200">
                  <c:v>8.7421989183378637E-2</c:v>
                </c:pt>
                <c:pt idx="201">
                  <c:v>8.6214646151707638E-2</c:v>
                </c:pt>
                <c:pt idx="202">
                  <c:v>8.6206483091212247E-2</c:v>
                </c:pt>
                <c:pt idx="203">
                  <c:v>8.6068489047986599E-2</c:v>
                </c:pt>
                <c:pt idx="204">
                  <c:v>8.5526372977416526E-2</c:v>
                </c:pt>
                <c:pt idx="205">
                  <c:v>8.4319029945745527E-2</c:v>
                </c:pt>
                <c:pt idx="206">
                  <c:v>8.2062099590508822E-2</c:v>
                </c:pt>
                <c:pt idx="207">
                  <c:v>8.0854756558837823E-2</c:v>
                </c:pt>
                <c:pt idx="208">
                  <c:v>7.9647413527166824E-2</c:v>
                </c:pt>
                <c:pt idx="209">
                  <c:v>7.9509419483941177E-2</c:v>
                </c:pt>
                <c:pt idx="210">
                  <c:v>7.8967303413371104E-2</c:v>
                </c:pt>
                <c:pt idx="211">
                  <c:v>7.8829309370145456E-2</c:v>
                </c:pt>
                <c:pt idx="212">
                  <c:v>7.8784778482342568E-2</c:v>
                </c:pt>
                <c:pt idx="213">
                  <c:v>7.8242662411772496E-2</c:v>
                </c:pt>
                <c:pt idx="214">
                  <c:v>7.8234499351277104E-2</c:v>
                </c:pt>
                <c:pt idx="215">
                  <c:v>7.7692383280707031E-2</c:v>
                </c:pt>
                <c:pt idx="216">
                  <c:v>7.7554389237481383E-2</c:v>
                </c:pt>
                <c:pt idx="217">
                  <c:v>7.7416395194255735E-2</c:v>
                </c:pt>
                <c:pt idx="218">
                  <c:v>7.7371864306452848E-2</c:v>
                </c:pt>
                <c:pt idx="219">
                  <c:v>7.5114933951216156E-2</c:v>
                </c:pt>
                <c:pt idx="220">
                  <c:v>7.4976939907990509E-2</c:v>
                </c:pt>
                <c:pt idx="221">
                  <c:v>7.376959687631951E-2</c:v>
                </c:pt>
                <c:pt idx="222">
                  <c:v>7.0272806243368235E-2</c:v>
                </c:pt>
                <c:pt idx="223">
                  <c:v>7.0134812200142588E-2</c:v>
                </c:pt>
                <c:pt idx="224">
                  <c:v>6.9592696129572515E-2</c:v>
                </c:pt>
                <c:pt idx="225">
                  <c:v>6.9050580059002442E-2</c:v>
                </c:pt>
                <c:pt idx="226">
                  <c:v>6.6793649703765737E-2</c:v>
                </c:pt>
                <c:pt idx="227">
                  <c:v>6.6251533633195664E-2</c:v>
                </c:pt>
                <c:pt idx="228">
                  <c:v>6.6243370572700272E-2</c:v>
                </c:pt>
                <c:pt idx="229">
                  <c:v>6.3986440217463567E-2</c:v>
                </c:pt>
                <c:pt idx="230">
                  <c:v>6.3941909329660679E-2</c:v>
                </c:pt>
                <c:pt idx="231">
                  <c:v>6.3803915286435031E-2</c:v>
                </c:pt>
                <c:pt idx="232">
                  <c:v>6.3261799215864958E-2</c:v>
                </c:pt>
                <c:pt idx="233">
                  <c:v>6.2054456184193967E-2</c:v>
                </c:pt>
                <c:pt idx="234">
                  <c:v>6.0847113152522975E-2</c:v>
                </c:pt>
                <c:pt idx="235">
                  <c:v>5.9639770120851983E-2</c:v>
                </c:pt>
                <c:pt idx="236">
                  <c:v>5.9097654050281903E-2</c:v>
                </c:pt>
                <c:pt idx="237">
                  <c:v>5.9053123162479015E-2</c:v>
                </c:pt>
                <c:pt idx="238">
                  <c:v>5.7845780130808024E-2</c:v>
                </c:pt>
                <c:pt idx="239">
                  <c:v>5.7707786087582376E-2</c:v>
                </c:pt>
                <c:pt idx="240">
                  <c:v>5.7569792044356728E-2</c:v>
                </c:pt>
                <c:pt idx="241">
                  <c:v>5.6362449012685736E-2</c:v>
                </c:pt>
                <c:pt idx="242">
                  <c:v>5.5155105981014745E-2</c:v>
                </c:pt>
                <c:pt idx="243">
                  <c:v>5.3947762949343753E-2</c:v>
                </c:pt>
                <c:pt idx="244">
                  <c:v>5.3405646878773673E-2</c:v>
                </c:pt>
                <c:pt idx="245">
                  <c:v>5.2863530808203593E-2</c:v>
                </c:pt>
                <c:pt idx="246">
                  <c:v>5.2321414737633513E-2</c:v>
                </c:pt>
                <c:pt idx="247">
                  <c:v>5.2313251677138128E-2</c:v>
                </c:pt>
                <c:pt idx="248">
                  <c:v>5.1771135606568049E-2</c:v>
                </c:pt>
                <c:pt idx="249">
                  <c:v>5.1762972546072664E-2</c:v>
                </c:pt>
                <c:pt idx="250">
                  <c:v>5.1220856475502584E-2</c:v>
                </c:pt>
                <c:pt idx="251">
                  <c:v>5.1082862432276936E-2</c:v>
                </c:pt>
                <c:pt idx="252">
                  <c:v>5.1038331544474048E-2</c:v>
                </c:pt>
                <c:pt idx="253">
                  <c:v>5.0900337501248401E-2</c:v>
                </c:pt>
                <c:pt idx="254">
                  <c:v>5.0358221430678321E-2</c:v>
                </c:pt>
                <c:pt idx="255">
                  <c:v>5.0220227387452673E-2</c:v>
                </c:pt>
                <c:pt idx="256">
                  <c:v>4.9678111316882594E-2</c:v>
                </c:pt>
                <c:pt idx="257">
                  <c:v>4.9540117273656946E-2</c:v>
                </c:pt>
                <c:pt idx="258">
                  <c:v>4.8998001203086866E-2</c:v>
                </c:pt>
                <c:pt idx="259">
                  <c:v>4.8953470315283978E-2</c:v>
                </c:pt>
                <c:pt idx="260">
                  <c:v>4.8908939427481091E-2</c:v>
                </c:pt>
                <c:pt idx="261">
                  <c:v>4.8366823356911011E-2</c:v>
                </c:pt>
                <c:pt idx="262">
                  <c:v>4.8358660296415626E-2</c:v>
                </c:pt>
                <c:pt idx="263">
                  <c:v>4.7151317264744634E-2</c:v>
                </c:pt>
                <c:pt idx="264">
                  <c:v>4.7013323221518986E-2</c:v>
                </c:pt>
                <c:pt idx="265">
                  <c:v>4.6471207150948907E-2</c:v>
                </c:pt>
                <c:pt idx="266">
                  <c:v>4.6333213107723259E-2</c:v>
                </c:pt>
                <c:pt idx="267">
                  <c:v>4.6325050047227874E-2</c:v>
                </c:pt>
                <c:pt idx="268">
                  <c:v>4.6187056004002226E-2</c:v>
                </c:pt>
                <c:pt idx="269">
                  <c:v>4.4979712972331234E-2</c:v>
                </c:pt>
                <c:pt idx="270">
                  <c:v>4.4437596901761155E-2</c:v>
                </c:pt>
                <c:pt idx="271">
                  <c:v>4.4299602858535507E-2</c:v>
                </c:pt>
                <c:pt idx="272">
                  <c:v>4.3092259826864515E-2</c:v>
                </c:pt>
                <c:pt idx="273">
                  <c:v>4.2550143756294435E-2</c:v>
                </c:pt>
                <c:pt idx="274">
                  <c:v>4.2412149713068788E-2</c:v>
                </c:pt>
                <c:pt idx="275">
                  <c:v>4.1204806681397796E-2</c:v>
                </c:pt>
                <c:pt idx="276">
                  <c:v>4.0662690610827716E-2</c:v>
                </c:pt>
                <c:pt idx="277">
                  <c:v>4.0120574540257636E-2</c:v>
                </c:pt>
                <c:pt idx="278">
                  <c:v>3.9578458469687557E-2</c:v>
                </c:pt>
                <c:pt idx="279">
                  <c:v>3.9533927581884669E-2</c:v>
                </c:pt>
                <c:pt idx="280">
                  <c:v>3.9395933538659021E-2</c:v>
                </c:pt>
                <c:pt idx="281">
                  <c:v>3.9351402650856133E-2</c:v>
                </c:pt>
                <c:pt idx="282">
                  <c:v>3.9306871763053246E-2</c:v>
                </c:pt>
                <c:pt idx="283">
                  <c:v>3.8764755692483166E-2</c:v>
                </c:pt>
                <c:pt idx="284">
                  <c:v>3.8626761649257518E-2</c:v>
                </c:pt>
                <c:pt idx="285">
                  <c:v>3.8488767606031871E-2</c:v>
                </c:pt>
                <c:pt idx="286">
                  <c:v>3.7946651535461791E-2</c:v>
                </c:pt>
                <c:pt idx="287">
                  <c:v>3.7808657492236143E-2</c:v>
                </c:pt>
                <c:pt idx="288">
                  <c:v>3.7800494431740758E-2</c:v>
                </c:pt>
                <c:pt idx="289">
                  <c:v>3.7662500388515111E-2</c:v>
                </c:pt>
                <c:pt idx="290">
                  <c:v>3.7120384317945031E-2</c:v>
                </c:pt>
                <c:pt idx="291">
                  <c:v>3.7075853430142143E-2</c:v>
                </c:pt>
                <c:pt idx="292">
                  <c:v>3.7031322542339255E-2</c:v>
                </c:pt>
                <c:pt idx="293">
                  <c:v>3.6489206471769176E-2</c:v>
                </c:pt>
                <c:pt idx="294">
                  <c:v>3.6481043411273791E-2</c:v>
                </c:pt>
                <c:pt idx="295">
                  <c:v>3.6436512523470903E-2</c:v>
                </c:pt>
                <c:pt idx="296">
                  <c:v>3.6298518480245255E-2</c:v>
                </c:pt>
                <c:pt idx="297">
                  <c:v>3.5091175448574263E-2</c:v>
                </c:pt>
                <c:pt idx="298">
                  <c:v>3.4953181405348616E-2</c:v>
                </c:pt>
                <c:pt idx="299">
                  <c:v>3.4908650517545728E-2</c:v>
                </c:pt>
                <c:pt idx="300">
                  <c:v>3.486411962974284E-2</c:v>
                </c:pt>
                <c:pt idx="301">
                  <c:v>3.432200355917276E-2</c:v>
                </c:pt>
                <c:pt idx="302">
                  <c:v>3.4184009515947113E-2</c:v>
                </c:pt>
                <c:pt idx="303">
                  <c:v>3.3641893445377033E-2</c:v>
                </c:pt>
                <c:pt idx="304">
                  <c:v>3.3503899402151385E-2</c:v>
                </c:pt>
                <c:pt idx="305">
                  <c:v>3.2296556370480393E-2</c:v>
                </c:pt>
                <c:pt idx="306">
                  <c:v>3.2158562327254746E-2</c:v>
                </c:pt>
                <c:pt idx="307">
                  <c:v>3.2114031439451858E-2</c:v>
                </c:pt>
                <c:pt idx="308">
                  <c:v>3.0906688407780866E-2</c:v>
                </c:pt>
                <c:pt idx="309">
                  <c:v>3.036457233721079E-2</c:v>
                </c:pt>
                <c:pt idx="310">
                  <c:v>3.0320041449407902E-2</c:v>
                </c:pt>
                <c:pt idx="311">
                  <c:v>3.0275510561605014E-2</c:v>
                </c:pt>
                <c:pt idx="312">
                  <c:v>2.9733394491034938E-2</c:v>
                </c:pt>
                <c:pt idx="313">
                  <c:v>2.9191278420464862E-2</c:v>
                </c:pt>
                <c:pt idx="314">
                  <c:v>2.9146747532661974E-2</c:v>
                </c:pt>
                <c:pt idx="315">
                  <c:v>2.9008753489436327E-2</c:v>
                </c:pt>
                <c:pt idx="316">
                  <c:v>2.846663741886625E-2</c:v>
                </c:pt>
                <c:pt idx="317">
                  <c:v>2.8422106531063362E-2</c:v>
                </c:pt>
                <c:pt idx="318">
                  <c:v>2.8284112487837715E-2</c:v>
                </c:pt>
                <c:pt idx="319">
                  <c:v>2.8146118444612067E-2</c:v>
                </c:pt>
                <c:pt idx="320">
                  <c:v>2.7604002374041991E-2</c:v>
                </c:pt>
                <c:pt idx="321">
                  <c:v>2.7559471486239103E-2</c:v>
                </c:pt>
                <c:pt idx="322">
                  <c:v>2.7514940598436215E-2</c:v>
                </c:pt>
                <c:pt idx="323">
                  <c:v>2.6972824527866139E-2</c:v>
                </c:pt>
                <c:pt idx="324">
                  <c:v>2.6964661467370751E-2</c:v>
                </c:pt>
                <c:pt idx="325">
                  <c:v>2.6956498406875362E-2</c:v>
                </c:pt>
                <c:pt idx="326">
                  <c:v>2.6414382336305286E-2</c:v>
                </c:pt>
                <c:pt idx="327">
                  <c:v>2.587226626573521E-2</c:v>
                </c:pt>
                <c:pt idx="328">
                  <c:v>2.5734272222509562E-2</c:v>
                </c:pt>
                <c:pt idx="329">
                  <c:v>2.5192156151939486E-2</c:v>
                </c:pt>
                <c:pt idx="330">
                  <c:v>2.5183993091444097E-2</c:v>
                </c:pt>
                <c:pt idx="331">
                  <c:v>2.5139462203641209E-2</c:v>
                </c:pt>
                <c:pt idx="332">
                  <c:v>2.5131299143145821E-2</c:v>
                </c:pt>
                <c:pt idx="333">
                  <c:v>2.4993305099920173E-2</c:v>
                </c:pt>
                <c:pt idx="334">
                  <c:v>2.4855311056694526E-2</c:v>
                </c:pt>
                <c:pt idx="335">
                  <c:v>2.4847147996199137E-2</c:v>
                </c:pt>
                <c:pt idx="336">
                  <c:v>2.4305031925629061E-2</c:v>
                </c:pt>
                <c:pt idx="337">
                  <c:v>2.4167037882403413E-2</c:v>
                </c:pt>
                <c:pt idx="338">
                  <c:v>2.4158874821908025E-2</c:v>
                </c:pt>
                <c:pt idx="339">
                  <c:v>2.4020880778682377E-2</c:v>
                </c:pt>
                <c:pt idx="340">
                  <c:v>2.3478764708112301E-2</c:v>
                </c:pt>
                <c:pt idx="341">
                  <c:v>2.3340770664886653E-2</c:v>
                </c:pt>
                <c:pt idx="342">
                  <c:v>2.3296239777083765E-2</c:v>
                </c:pt>
                <c:pt idx="343">
                  <c:v>2.3251708889280878E-2</c:v>
                </c:pt>
                <c:pt idx="344">
                  <c:v>2.2709592818710801E-2</c:v>
                </c:pt>
                <c:pt idx="345">
                  <c:v>2.2701429758215413E-2</c:v>
                </c:pt>
                <c:pt idx="346">
                  <c:v>2.2159313687645336E-2</c:v>
                </c:pt>
                <c:pt idx="347">
                  <c:v>2.0951970655974345E-2</c:v>
                </c:pt>
                <c:pt idx="348">
                  <c:v>2.0907439768171457E-2</c:v>
                </c:pt>
                <c:pt idx="349">
                  <c:v>2.0769445724945809E-2</c:v>
                </c:pt>
                <c:pt idx="350">
                  <c:v>2.0724914837142921E-2</c:v>
                </c:pt>
                <c:pt idx="351">
                  <c:v>1.8467984481906223E-2</c:v>
                </c:pt>
                <c:pt idx="352">
                  <c:v>1.8423453594103335E-2</c:v>
                </c:pt>
                <c:pt idx="353">
                  <c:v>1.8378922706300448E-2</c:v>
                </c:pt>
                <c:pt idx="354">
                  <c:v>1.82409286630748E-2</c:v>
                </c:pt>
                <c:pt idx="355">
                  <c:v>1.8102934619849152E-2</c:v>
                </c:pt>
                <c:pt idx="356">
                  <c:v>1.8058403732046265E-2</c:v>
                </c:pt>
                <c:pt idx="357">
                  <c:v>1.7920409688820617E-2</c:v>
                </c:pt>
                <c:pt idx="358">
                  <c:v>1.7782415645594969E-2</c:v>
                </c:pt>
                <c:pt idx="359">
                  <c:v>1.7644421602369322E-2</c:v>
                </c:pt>
                <c:pt idx="360">
                  <c:v>1.7506427559143674E-2</c:v>
                </c:pt>
                <c:pt idx="361">
                  <c:v>1.6299084527472682E-2</c:v>
                </c:pt>
                <c:pt idx="362">
                  <c:v>1.6290921466977294E-2</c:v>
                </c:pt>
                <c:pt idx="363">
                  <c:v>1.6246390579174406E-2</c:v>
                </c:pt>
                <c:pt idx="364">
                  <c:v>1.5704274508604329E-2</c:v>
                </c:pt>
                <c:pt idx="365">
                  <c:v>1.5696111448108941E-2</c:v>
                </c:pt>
                <c:pt idx="366">
                  <c:v>1.5558117404883292E-2</c:v>
                </c:pt>
                <c:pt idx="367">
                  <c:v>1.5513586517080406E-2</c:v>
                </c:pt>
                <c:pt idx="368">
                  <c:v>1.5505423456585017E-2</c:v>
                </c:pt>
                <c:pt idx="369">
                  <c:v>1.5367429413359368E-2</c:v>
                </c:pt>
                <c:pt idx="370">
                  <c:v>1.5322898525556482E-2</c:v>
                </c:pt>
                <c:pt idx="371">
                  <c:v>1.5184904482330832E-2</c:v>
                </c:pt>
                <c:pt idx="372">
                  <c:v>1.5140373594527946E-2</c:v>
                </c:pt>
                <c:pt idx="373">
                  <c:v>1.4598257523957868E-2</c:v>
                </c:pt>
                <c:pt idx="374">
                  <c:v>1.3390914492286876E-2</c:v>
                </c:pt>
                <c:pt idx="375">
                  <c:v>1.3252920449061227E-2</c:v>
                </c:pt>
                <c:pt idx="376">
                  <c:v>1.3114926405835578E-2</c:v>
                </c:pt>
                <c:pt idx="377">
                  <c:v>1.25728103352655E-2</c:v>
                </c:pt>
                <c:pt idx="378">
                  <c:v>1.2528279447462614E-2</c:v>
                </c:pt>
                <c:pt idx="379">
                  <c:v>1.2390285404236964E-2</c:v>
                </c:pt>
                <c:pt idx="380">
                  <c:v>1.2252291361011315E-2</c:v>
                </c:pt>
                <c:pt idx="381">
                  <c:v>1.2207760473208429E-2</c:v>
                </c:pt>
                <c:pt idx="382">
                  <c:v>1.2069766429982779E-2</c:v>
                </c:pt>
                <c:pt idx="383">
                  <c:v>1.2025235542179893E-2</c:v>
                </c:pt>
                <c:pt idx="384">
                  <c:v>1.1980704654377007E-2</c:v>
                </c:pt>
                <c:pt idx="385">
                  <c:v>1.1842710611151358E-2</c:v>
                </c:pt>
                <c:pt idx="386">
                  <c:v>1.1798179723348472E-2</c:v>
                </c:pt>
                <c:pt idx="387">
                  <c:v>1.1753648835545586E-2</c:v>
                </c:pt>
                <c:pt idx="388">
                  <c:v>1.17091179477427E-2</c:v>
                </c:pt>
                <c:pt idx="389">
                  <c:v>1.1700954887247312E-2</c:v>
                </c:pt>
                <c:pt idx="390">
                  <c:v>1.1692791826751923E-2</c:v>
                </c:pt>
                <c:pt idx="391">
                  <c:v>1.1684628766256535E-2</c:v>
                </c:pt>
                <c:pt idx="392">
                  <c:v>1.1546634723030885E-2</c:v>
                </c:pt>
                <c:pt idx="393">
                  <c:v>1.1004518652460807E-2</c:v>
                </c:pt>
                <c:pt idx="394">
                  <c:v>1.0959987764657921E-2</c:v>
                </c:pt>
                <c:pt idx="395">
                  <c:v>1.0821993721432272E-2</c:v>
                </c:pt>
                <c:pt idx="396">
                  <c:v>1.0683999678206622E-2</c:v>
                </c:pt>
                <c:pt idx="397">
                  <c:v>1.0675836617711234E-2</c:v>
                </c:pt>
                <c:pt idx="398">
                  <c:v>1.0537842574485584E-2</c:v>
                </c:pt>
                <c:pt idx="399">
                  <c:v>1.0529679513990196E-2</c:v>
                </c:pt>
                <c:pt idx="400">
                  <c:v>1.0521516453494808E-2</c:v>
                </c:pt>
                <c:pt idx="401">
                  <c:v>1.0476985565691922E-2</c:v>
                </c:pt>
                <c:pt idx="402">
                  <c:v>1.0468822505196533E-2</c:v>
                </c:pt>
                <c:pt idx="403">
                  <c:v>1.0330828461970884E-2</c:v>
                </c:pt>
                <c:pt idx="404">
                  <c:v>1.0286297574167998E-2</c:v>
                </c:pt>
                <c:pt idx="405">
                  <c:v>1.0278134513672609E-2</c:v>
                </c:pt>
                <c:pt idx="406">
                  <c:v>1.0233603625869723E-2</c:v>
                </c:pt>
                <c:pt idx="407">
                  <c:v>1.0225440565374335E-2</c:v>
                </c:pt>
                <c:pt idx="408">
                  <c:v>1.0217277504878946E-2</c:v>
                </c:pt>
                <c:pt idx="409">
                  <c:v>1.017274661707606E-2</c:v>
                </c:pt>
                <c:pt idx="410">
                  <c:v>1.0164583556580672E-2</c:v>
                </c:pt>
                <c:pt idx="411">
                  <c:v>8.95724052490968E-3</c:v>
                </c:pt>
                <c:pt idx="412">
                  <c:v>8.8192464816840305E-3</c:v>
                </c:pt>
                <c:pt idx="413">
                  <c:v>8.2771304111139525E-3</c:v>
                </c:pt>
                <c:pt idx="414">
                  <c:v>8.2325995233110665E-3</c:v>
                </c:pt>
                <c:pt idx="415">
                  <c:v>8.224436462815678E-3</c:v>
                </c:pt>
                <c:pt idx="416">
                  <c:v>8.1799055750127921E-3</c:v>
                </c:pt>
                <c:pt idx="417">
                  <c:v>8.1353746872099061E-3</c:v>
                </c:pt>
                <c:pt idx="418">
                  <c:v>7.9973806439842567E-3</c:v>
                </c:pt>
                <c:pt idx="419">
                  <c:v>7.8593866007586072E-3</c:v>
                </c:pt>
                <c:pt idx="420">
                  <c:v>7.8512235402632188E-3</c:v>
                </c:pt>
                <c:pt idx="421">
                  <c:v>7.8066926524603328E-3</c:v>
                </c:pt>
                <c:pt idx="422">
                  <c:v>7.7621617646574459E-3</c:v>
                </c:pt>
                <c:pt idx="423">
                  <c:v>7.2200456940873688E-3</c:v>
                </c:pt>
                <c:pt idx="424">
                  <c:v>7.0820516508617202E-3</c:v>
                </c:pt>
                <c:pt idx="425">
                  <c:v>7.0738885903663317E-3</c:v>
                </c:pt>
                <c:pt idx="426">
                  <c:v>7.0657255298709433E-3</c:v>
                </c:pt>
                <c:pt idx="427">
                  <c:v>7.0575624693755548E-3</c:v>
                </c:pt>
                <c:pt idx="428">
                  <c:v>6.9195684261499062E-3</c:v>
                </c:pt>
                <c:pt idx="429">
                  <c:v>6.7815743829242577E-3</c:v>
                </c:pt>
                <c:pt idx="430">
                  <c:v>6.7370434951213708E-3</c:v>
                </c:pt>
                <c:pt idx="431">
                  <c:v>6.692512607318484E-3</c:v>
                </c:pt>
                <c:pt idx="432">
                  <c:v>6.6479817195155971E-3</c:v>
                </c:pt>
                <c:pt idx="433">
                  <c:v>6.6398186590202087E-3</c:v>
                </c:pt>
                <c:pt idx="434">
                  <c:v>6.5018246157945601E-3</c:v>
                </c:pt>
                <c:pt idx="435">
                  <c:v>6.4572937279916733E-3</c:v>
                </c:pt>
                <c:pt idx="436">
                  <c:v>6.3192996847660247E-3</c:v>
                </c:pt>
                <c:pt idx="437">
                  <c:v>6.3111366242706362E-3</c:v>
                </c:pt>
                <c:pt idx="438">
                  <c:v>6.2666057364677494E-3</c:v>
                </c:pt>
                <c:pt idx="439">
                  <c:v>5.7244896658976722E-3</c:v>
                </c:pt>
                <c:pt idx="440">
                  <c:v>5.6799587780947854E-3</c:v>
                </c:pt>
                <c:pt idx="441">
                  <c:v>5.5419647348691368E-3</c:v>
                </c:pt>
                <c:pt idx="442">
                  <c:v>5.5338016743737483E-3</c:v>
                </c:pt>
                <c:pt idx="443">
                  <c:v>5.5256386138783599E-3</c:v>
                </c:pt>
                <c:pt idx="444">
                  <c:v>5.5174755533829714E-3</c:v>
                </c:pt>
                <c:pt idx="445">
                  <c:v>5.4729446655800845E-3</c:v>
                </c:pt>
                <c:pt idx="446">
                  <c:v>5.464781605084696E-3</c:v>
                </c:pt>
                <c:pt idx="447">
                  <c:v>5.3267875618590475E-3</c:v>
                </c:pt>
                <c:pt idx="448">
                  <c:v>5.188793518633399E-3</c:v>
                </c:pt>
                <c:pt idx="449">
                  <c:v>5.1806304581380105E-3</c:v>
                </c:pt>
                <c:pt idx="450">
                  <c:v>5.172467397642622E-3</c:v>
                </c:pt>
                <c:pt idx="451">
                  <c:v>4.6303513270725448E-3</c:v>
                </c:pt>
                <c:pt idx="452">
                  <c:v>4.6221882665771563E-3</c:v>
                </c:pt>
                <c:pt idx="453">
                  <c:v>4.4841942233515078E-3</c:v>
                </c:pt>
                <c:pt idx="454">
                  <c:v>4.4396633355486209E-3</c:v>
                </c:pt>
                <c:pt idx="455">
                  <c:v>4.3016692923229724E-3</c:v>
                </c:pt>
                <c:pt idx="456">
                  <c:v>4.2935062318275839E-3</c:v>
                </c:pt>
                <c:pt idx="457">
                  <c:v>4.2489753440246971E-3</c:v>
                </c:pt>
                <c:pt idx="458">
                  <c:v>4.2408122835293086E-3</c:v>
                </c:pt>
                <c:pt idx="459">
                  <c:v>3.6986962129592314E-3</c:v>
                </c:pt>
                <c:pt idx="460">
                  <c:v>3.6541653251563446E-3</c:v>
                </c:pt>
                <c:pt idx="461">
                  <c:v>3.6096344373534577E-3</c:v>
                </c:pt>
                <c:pt idx="462">
                  <c:v>3.6014713768580692E-3</c:v>
                </c:pt>
                <c:pt idx="463">
                  <c:v>3.5933083163626808E-3</c:v>
                </c:pt>
                <c:pt idx="464">
                  <c:v>3.4553142731370322E-3</c:v>
                </c:pt>
                <c:pt idx="465">
                  <c:v>3.4107833853341454E-3</c:v>
                </c:pt>
                <c:pt idx="466">
                  <c:v>3.3662524975312585E-3</c:v>
                </c:pt>
                <c:pt idx="467">
                  <c:v>3.35808943703587E-3</c:v>
                </c:pt>
                <c:pt idx="468">
                  <c:v>3.3499263765404816E-3</c:v>
                </c:pt>
                <c:pt idx="469">
                  <c:v>3.3053954887375947E-3</c:v>
                </c:pt>
                <c:pt idx="470">
                  <c:v>3.1674014455119462E-3</c:v>
                </c:pt>
                <c:pt idx="471">
                  <c:v>3.1592383850165577E-3</c:v>
                </c:pt>
                <c:pt idx="472">
                  <c:v>3.1510753245211692E-3</c:v>
                </c:pt>
                <c:pt idx="473">
                  <c:v>3.1429122640257807E-3</c:v>
                </c:pt>
                <c:pt idx="474">
                  <c:v>3.0983813762228939E-3</c:v>
                </c:pt>
                <c:pt idx="475">
                  <c:v>2.9603873329972453E-3</c:v>
                </c:pt>
                <c:pt idx="476">
                  <c:v>2.8223932897715968E-3</c:v>
                </c:pt>
                <c:pt idx="477">
                  <c:v>2.8142302292762083E-3</c:v>
                </c:pt>
                <c:pt idx="478">
                  <c:v>2.8060671687808198E-3</c:v>
                </c:pt>
                <c:pt idx="479">
                  <c:v>2.2639510982107426E-3</c:v>
                </c:pt>
                <c:pt idx="480">
                  <c:v>2.2557880377153542E-3</c:v>
                </c:pt>
                <c:pt idx="481">
                  <c:v>2.2476249772199657E-3</c:v>
                </c:pt>
                <c:pt idx="482">
                  <c:v>2.2394619167245772E-3</c:v>
                </c:pt>
                <c:pt idx="483">
                  <c:v>2.2312988562291887E-3</c:v>
                </c:pt>
                <c:pt idx="484">
                  <c:v>2.0933048130035402E-3</c:v>
                </c:pt>
                <c:pt idx="485">
                  <c:v>2.0851417525081517E-3</c:v>
                </c:pt>
                <c:pt idx="486">
                  <c:v>2.0406108647052648E-3</c:v>
                </c:pt>
                <c:pt idx="487">
                  <c:v>1.9026168214796163E-3</c:v>
                </c:pt>
                <c:pt idx="488">
                  <c:v>1.8944537609842278E-3</c:v>
                </c:pt>
                <c:pt idx="489">
                  <c:v>1.8862907004888393E-3</c:v>
                </c:pt>
                <c:pt idx="490">
                  <c:v>1.8781276399934509E-3</c:v>
                </c:pt>
                <c:pt idx="491">
                  <c:v>1.8699645794980624E-3</c:v>
                </c:pt>
                <c:pt idx="492">
                  <c:v>1.7319705362724136E-3</c:v>
                </c:pt>
                <c:pt idx="493">
                  <c:v>1.687439648469527E-3</c:v>
                </c:pt>
                <c:pt idx="494">
                  <c:v>1.5494456052438782E-3</c:v>
                </c:pt>
                <c:pt idx="495">
                  <c:v>1.5412825447484897E-3</c:v>
                </c:pt>
                <c:pt idx="496">
                  <c:v>1.403288501522841E-3</c:v>
                </c:pt>
                <c:pt idx="497">
                  <c:v>1.3587576137199543E-3</c:v>
                </c:pt>
                <c:pt idx="498">
                  <c:v>1.3142267259170677E-3</c:v>
                </c:pt>
                <c:pt idx="499">
                  <c:v>1.2696958381141811E-3</c:v>
                </c:pt>
                <c:pt idx="500">
                  <c:v>1.2251649503112944E-3</c:v>
                </c:pt>
                <c:pt idx="501">
                  <c:v>1.217001889815906E-3</c:v>
                </c:pt>
                <c:pt idx="502">
                  <c:v>1.2088388293205175E-3</c:v>
                </c:pt>
                <c:pt idx="503">
                  <c:v>1.200675768825129E-3</c:v>
                </c:pt>
                <c:pt idx="504">
                  <c:v>1.1561448810222424E-3</c:v>
                </c:pt>
                <c:pt idx="505">
                  <c:v>1.1116139932193557E-3</c:v>
                </c:pt>
                <c:pt idx="506">
                  <c:v>1.1034509327239672E-3</c:v>
                </c:pt>
                <c:pt idx="507">
                  <c:v>1.0589200449210806E-3</c:v>
                </c:pt>
                <c:pt idx="508">
                  <c:v>1.014389157118194E-3</c:v>
                </c:pt>
                <c:pt idx="509">
                  <c:v>1.0062260966228055E-3</c:v>
                </c:pt>
                <c:pt idx="510">
                  <c:v>8.6823205339715674E-4</c:v>
                </c:pt>
                <c:pt idx="511">
                  <c:v>8.6006899290176826E-4</c:v>
                </c:pt>
                <c:pt idx="512">
                  <c:v>8.5190593240637978E-4</c:v>
                </c:pt>
                <c:pt idx="513">
                  <c:v>8.437428719109913E-4</c:v>
                </c:pt>
                <c:pt idx="514">
                  <c:v>7.9921198410810466E-4</c:v>
                </c:pt>
                <c:pt idx="515">
                  <c:v>7.9104892361271618E-4</c:v>
                </c:pt>
                <c:pt idx="516">
                  <c:v>7.4651803580982955E-4</c:v>
                </c:pt>
                <c:pt idx="517">
                  <c:v>7.0198714800694291E-4</c:v>
                </c:pt>
                <c:pt idx="518">
                  <c:v>6.9382408751155443E-4</c:v>
                </c:pt>
                <c:pt idx="519">
                  <c:v>6.8566102701616595E-4</c:v>
                </c:pt>
                <c:pt idx="520">
                  <c:v>5.4766698379051719E-4</c:v>
                </c:pt>
                <c:pt idx="521">
                  <c:v>5.3950392329512871E-4</c:v>
                </c:pt>
                <c:pt idx="522">
                  <c:v>4.9497303549224207E-4</c:v>
                </c:pt>
                <c:pt idx="523">
                  <c:v>4.5044214768935538E-4</c:v>
                </c:pt>
                <c:pt idx="524">
                  <c:v>4.0591125988646869E-4</c:v>
                </c:pt>
                <c:pt idx="525">
                  <c:v>2.6791721666081998E-4</c:v>
                </c:pt>
                <c:pt idx="526">
                  <c:v>2.597541561654315E-4</c:v>
                </c:pt>
                <c:pt idx="527">
                  <c:v>2.5159109567004302E-4</c:v>
                </c:pt>
                <c:pt idx="528">
                  <c:v>2.0706020786715634E-4</c:v>
                </c:pt>
                <c:pt idx="529">
                  <c:v>1.9889714737176786E-4</c:v>
                </c:pt>
                <c:pt idx="530">
                  <c:v>1.5436625956888117E-4</c:v>
                </c:pt>
                <c:pt idx="531">
                  <c:v>1.0983537176599448E-4</c:v>
                </c:pt>
                <c:pt idx="532">
                  <c:v>6.5304483963107786E-5</c:v>
                </c:pt>
                <c:pt idx="533">
                  <c:v>5.7141423467719313E-5</c:v>
                </c:pt>
                <c:pt idx="534">
                  <c:v>4.8978362972330839E-5</c:v>
                </c:pt>
                <c:pt idx="535">
                  <c:v>4.0815302476942366E-5</c:v>
                </c:pt>
                <c:pt idx="536">
                  <c:v>3.2652241981553893E-5</c:v>
                </c:pt>
                <c:pt idx="537">
                  <c:v>2.448918148616542E-5</c:v>
                </c:pt>
                <c:pt idx="538">
                  <c:v>1.6326120990776946E-5</c:v>
                </c:pt>
                <c:pt idx="539">
                  <c:v>8.1630604953884732E-6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5E-4199-9375-3D257A86D959}"/>
            </c:ext>
          </c:extLst>
        </c:ser>
        <c:ser>
          <c:idx val="1"/>
          <c:order val="1"/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Extrapolation!$C$12:$C$552</c:f>
              <c:numCache>
                <c:formatCode>General</c:formatCode>
                <c:ptCount val="541"/>
                <c:pt idx="0">
                  <c:v>5154.018</c:v>
                </c:pt>
                <c:pt idx="1">
                  <c:v>5168.1695</c:v>
                </c:pt>
                <c:pt idx="2">
                  <c:v>5201.6215000000002</c:v>
                </c:pt>
                <c:pt idx="3">
                  <c:v>5202.4920000000002</c:v>
                </c:pt>
                <c:pt idx="4">
                  <c:v>5215.4285</c:v>
                </c:pt>
                <c:pt idx="5">
                  <c:v>5217.1139999999996</c:v>
                </c:pt>
                <c:pt idx="6">
                  <c:v>5226.7475000000004</c:v>
                </c:pt>
                <c:pt idx="7">
                  <c:v>5268.9970000000003</c:v>
                </c:pt>
                <c:pt idx="8">
                  <c:v>5293.8125</c:v>
                </c:pt>
                <c:pt idx="9">
                  <c:v>5299.6284999999998</c:v>
                </c:pt>
                <c:pt idx="10">
                  <c:v>5302.4714999999997</c:v>
                </c:pt>
                <c:pt idx="11">
                  <c:v>5305.6329999999998</c:v>
                </c:pt>
                <c:pt idx="12">
                  <c:v>5333.31</c:v>
                </c:pt>
                <c:pt idx="13">
                  <c:v>5360.8280000000004</c:v>
                </c:pt>
                <c:pt idx="14">
                  <c:v>5384.0675000000001</c:v>
                </c:pt>
                <c:pt idx="15">
                  <c:v>5680.3755000000001</c:v>
                </c:pt>
                <c:pt idx="16">
                  <c:v>5705.9650000000001</c:v>
                </c:pt>
                <c:pt idx="17">
                  <c:v>5732.9740000000002</c:v>
                </c:pt>
                <c:pt idx="18">
                  <c:v>5749.5640000000003</c:v>
                </c:pt>
                <c:pt idx="19">
                  <c:v>5755.5510000000004</c:v>
                </c:pt>
                <c:pt idx="20">
                  <c:v>5832.6580000000004</c:v>
                </c:pt>
                <c:pt idx="21">
                  <c:v>5899.9279999999999</c:v>
                </c:pt>
                <c:pt idx="22">
                  <c:v>5908.1835000000001</c:v>
                </c:pt>
                <c:pt idx="23">
                  <c:v>5932.7605000000003</c:v>
                </c:pt>
                <c:pt idx="24">
                  <c:v>5935.3050000000003</c:v>
                </c:pt>
                <c:pt idx="25">
                  <c:v>5963.8604999999998</c:v>
                </c:pt>
                <c:pt idx="26">
                  <c:v>5978.15</c:v>
                </c:pt>
                <c:pt idx="27">
                  <c:v>6055.6734999999999</c:v>
                </c:pt>
                <c:pt idx="28">
                  <c:v>6224.2325000000001</c:v>
                </c:pt>
                <c:pt idx="29">
                  <c:v>6392.0815000000002</c:v>
                </c:pt>
                <c:pt idx="30">
                  <c:v>6486.1139999999996</c:v>
                </c:pt>
                <c:pt idx="31">
                  <c:v>6517.8355000000001</c:v>
                </c:pt>
                <c:pt idx="32">
                  <c:v>6521.8559999999998</c:v>
                </c:pt>
                <c:pt idx="33">
                  <c:v>6525.9314999999997</c:v>
                </c:pt>
                <c:pt idx="34">
                  <c:v>6591.6184999999996</c:v>
                </c:pt>
                <c:pt idx="35">
                  <c:v>6636.4979999999996</c:v>
                </c:pt>
                <c:pt idx="36">
                  <c:v>6640.9215000000004</c:v>
                </c:pt>
                <c:pt idx="37">
                  <c:v>6658.9314999999997</c:v>
                </c:pt>
                <c:pt idx="38">
                  <c:v>6679.5469999999996</c:v>
                </c:pt>
                <c:pt idx="39">
                  <c:v>6684.4579999999996</c:v>
                </c:pt>
                <c:pt idx="40">
                  <c:v>6685.4350000000004</c:v>
                </c:pt>
                <c:pt idx="41">
                  <c:v>6691.0320000000002</c:v>
                </c:pt>
                <c:pt idx="42">
                  <c:v>6699.4849999999997</c:v>
                </c:pt>
                <c:pt idx="43">
                  <c:v>6704.2150000000001</c:v>
                </c:pt>
                <c:pt idx="44">
                  <c:v>6723.6745000000001</c:v>
                </c:pt>
                <c:pt idx="45">
                  <c:v>6727.6554999999998</c:v>
                </c:pt>
                <c:pt idx="46">
                  <c:v>6728.5079999999998</c:v>
                </c:pt>
                <c:pt idx="47">
                  <c:v>6736.8145000000004</c:v>
                </c:pt>
                <c:pt idx="48">
                  <c:v>6772.9449999999997</c:v>
                </c:pt>
                <c:pt idx="49">
                  <c:v>6777.0140000000001</c:v>
                </c:pt>
                <c:pt idx="50">
                  <c:v>6780.6760000000004</c:v>
                </c:pt>
                <c:pt idx="51">
                  <c:v>6810.6419999999998</c:v>
                </c:pt>
                <c:pt idx="52">
                  <c:v>6822.808</c:v>
                </c:pt>
                <c:pt idx="53">
                  <c:v>6830.8990000000003</c:v>
                </c:pt>
                <c:pt idx="54">
                  <c:v>6832.7020000000002</c:v>
                </c:pt>
                <c:pt idx="55">
                  <c:v>6839.6760000000004</c:v>
                </c:pt>
                <c:pt idx="56">
                  <c:v>6841.03</c:v>
                </c:pt>
                <c:pt idx="57">
                  <c:v>6844.067</c:v>
                </c:pt>
                <c:pt idx="58">
                  <c:v>6852.9369999999999</c:v>
                </c:pt>
                <c:pt idx="59">
                  <c:v>6861.4485000000004</c:v>
                </c:pt>
                <c:pt idx="60">
                  <c:v>6861.7155000000002</c:v>
                </c:pt>
                <c:pt idx="61">
                  <c:v>6870.7105000000001</c:v>
                </c:pt>
                <c:pt idx="62">
                  <c:v>6873.88</c:v>
                </c:pt>
                <c:pt idx="63">
                  <c:v>6878.8040000000001</c:v>
                </c:pt>
                <c:pt idx="64">
                  <c:v>6881.4849999999997</c:v>
                </c:pt>
                <c:pt idx="65">
                  <c:v>6891.8289999999997</c:v>
                </c:pt>
                <c:pt idx="66">
                  <c:v>6905.2354999999998</c:v>
                </c:pt>
                <c:pt idx="67">
                  <c:v>6913.1610000000001</c:v>
                </c:pt>
                <c:pt idx="68">
                  <c:v>6927.79</c:v>
                </c:pt>
                <c:pt idx="69">
                  <c:v>6933.2275</c:v>
                </c:pt>
                <c:pt idx="70">
                  <c:v>6948.1509999999998</c:v>
                </c:pt>
                <c:pt idx="71">
                  <c:v>6960.2855</c:v>
                </c:pt>
                <c:pt idx="72">
                  <c:v>6965.7569999999996</c:v>
                </c:pt>
                <c:pt idx="73">
                  <c:v>6965.9530000000004</c:v>
                </c:pt>
                <c:pt idx="74">
                  <c:v>6970.6464999999998</c:v>
                </c:pt>
                <c:pt idx="75">
                  <c:v>6993.7470000000003</c:v>
                </c:pt>
                <c:pt idx="76">
                  <c:v>7013.6260000000002</c:v>
                </c:pt>
                <c:pt idx="77">
                  <c:v>7017.2205000000004</c:v>
                </c:pt>
                <c:pt idx="78">
                  <c:v>7024.0940000000001</c:v>
                </c:pt>
                <c:pt idx="79">
                  <c:v>7030.7280000000001</c:v>
                </c:pt>
                <c:pt idx="80">
                  <c:v>7041.9669999999996</c:v>
                </c:pt>
                <c:pt idx="81">
                  <c:v>7056.0325000000003</c:v>
                </c:pt>
                <c:pt idx="82">
                  <c:v>7063.8744999999999</c:v>
                </c:pt>
                <c:pt idx="83">
                  <c:v>7070.2470000000003</c:v>
                </c:pt>
                <c:pt idx="84">
                  <c:v>7077.6215000000002</c:v>
                </c:pt>
                <c:pt idx="85">
                  <c:v>7111.7134999999998</c:v>
                </c:pt>
                <c:pt idx="86">
                  <c:v>7159.4849999999997</c:v>
                </c:pt>
                <c:pt idx="87">
                  <c:v>7165.3535000000002</c:v>
                </c:pt>
                <c:pt idx="88">
                  <c:v>7176.7704999999996</c:v>
                </c:pt>
                <c:pt idx="89">
                  <c:v>7180.4139999999998</c:v>
                </c:pt>
                <c:pt idx="90">
                  <c:v>7221.5370000000003</c:v>
                </c:pt>
                <c:pt idx="91">
                  <c:v>7224.3209999999999</c:v>
                </c:pt>
                <c:pt idx="92">
                  <c:v>7228.3959999999997</c:v>
                </c:pt>
                <c:pt idx="93">
                  <c:v>7235.1610000000001</c:v>
                </c:pt>
                <c:pt idx="94">
                  <c:v>7236.11</c:v>
                </c:pt>
                <c:pt idx="95">
                  <c:v>7244.4295000000002</c:v>
                </c:pt>
                <c:pt idx="96">
                  <c:v>7249.7434999999996</c:v>
                </c:pt>
                <c:pt idx="97">
                  <c:v>7259.4444999999996</c:v>
                </c:pt>
                <c:pt idx="98">
                  <c:v>7289.4894999999997</c:v>
                </c:pt>
                <c:pt idx="99">
                  <c:v>7291.5950000000003</c:v>
                </c:pt>
                <c:pt idx="100">
                  <c:v>7307.6629999999996</c:v>
                </c:pt>
                <c:pt idx="101">
                  <c:v>7327.08</c:v>
                </c:pt>
                <c:pt idx="102">
                  <c:v>7335.9795000000004</c:v>
                </c:pt>
                <c:pt idx="103">
                  <c:v>7353.2785000000003</c:v>
                </c:pt>
                <c:pt idx="104">
                  <c:v>7374.7264999999998</c:v>
                </c:pt>
                <c:pt idx="105">
                  <c:v>7376.8654999999999</c:v>
                </c:pt>
                <c:pt idx="106">
                  <c:v>7394.4885000000004</c:v>
                </c:pt>
                <c:pt idx="107">
                  <c:v>7397.9525000000003</c:v>
                </c:pt>
                <c:pt idx="108">
                  <c:v>7419.7494999999999</c:v>
                </c:pt>
                <c:pt idx="109">
                  <c:v>7420.5619999999999</c:v>
                </c:pt>
                <c:pt idx="110">
                  <c:v>7422.2939999999999</c:v>
                </c:pt>
                <c:pt idx="111">
                  <c:v>7423.6504999999997</c:v>
                </c:pt>
                <c:pt idx="112">
                  <c:v>7424.4705000000004</c:v>
                </c:pt>
                <c:pt idx="113">
                  <c:v>7430.6975000000002</c:v>
                </c:pt>
                <c:pt idx="114">
                  <c:v>7436.7775000000001</c:v>
                </c:pt>
                <c:pt idx="115">
                  <c:v>7441.2929999999997</c:v>
                </c:pt>
                <c:pt idx="116">
                  <c:v>7442.1954999999998</c:v>
                </c:pt>
                <c:pt idx="117">
                  <c:v>7444.4849999999997</c:v>
                </c:pt>
                <c:pt idx="118">
                  <c:v>7455.1854999999996</c:v>
                </c:pt>
                <c:pt idx="119">
                  <c:v>7463.0715</c:v>
                </c:pt>
                <c:pt idx="120">
                  <c:v>7463.2389999999996</c:v>
                </c:pt>
                <c:pt idx="121">
                  <c:v>7463.3694999999998</c:v>
                </c:pt>
                <c:pt idx="122">
                  <c:v>7469.7719999999999</c:v>
                </c:pt>
                <c:pt idx="123">
                  <c:v>7470.3545000000004</c:v>
                </c:pt>
                <c:pt idx="124">
                  <c:v>7472.0140000000001</c:v>
                </c:pt>
                <c:pt idx="125">
                  <c:v>7476.1014999999998</c:v>
                </c:pt>
                <c:pt idx="126">
                  <c:v>7481.8190000000004</c:v>
                </c:pt>
                <c:pt idx="127">
                  <c:v>7484.2214999999997</c:v>
                </c:pt>
                <c:pt idx="128">
                  <c:v>7485.4080000000004</c:v>
                </c:pt>
                <c:pt idx="129">
                  <c:v>7486.9155000000001</c:v>
                </c:pt>
                <c:pt idx="130">
                  <c:v>7492.2110000000002</c:v>
                </c:pt>
                <c:pt idx="131">
                  <c:v>7497.8474999999999</c:v>
                </c:pt>
                <c:pt idx="132">
                  <c:v>7506.7759999999998</c:v>
                </c:pt>
                <c:pt idx="133">
                  <c:v>7510.8554999999997</c:v>
                </c:pt>
                <c:pt idx="134">
                  <c:v>7514.1364999999996</c:v>
                </c:pt>
                <c:pt idx="135">
                  <c:v>7514.665</c:v>
                </c:pt>
                <c:pt idx="136">
                  <c:v>7520.9624999999996</c:v>
                </c:pt>
                <c:pt idx="137">
                  <c:v>7535.7534999999998</c:v>
                </c:pt>
                <c:pt idx="138">
                  <c:v>7557.6009999999997</c:v>
                </c:pt>
                <c:pt idx="139">
                  <c:v>7557.8909999999996</c:v>
                </c:pt>
                <c:pt idx="140">
                  <c:v>7558.4939999999997</c:v>
                </c:pt>
                <c:pt idx="141">
                  <c:v>7560.4939999999997</c:v>
                </c:pt>
                <c:pt idx="142">
                  <c:v>7561.2879999999996</c:v>
                </c:pt>
                <c:pt idx="143">
                  <c:v>7561.9870000000001</c:v>
                </c:pt>
                <c:pt idx="144">
                  <c:v>7564.3370000000004</c:v>
                </c:pt>
                <c:pt idx="145">
                  <c:v>7571.8869999999997</c:v>
                </c:pt>
                <c:pt idx="146">
                  <c:v>7574.9324999999999</c:v>
                </c:pt>
                <c:pt idx="147">
                  <c:v>7576.43</c:v>
                </c:pt>
                <c:pt idx="148">
                  <c:v>7584.6274999999996</c:v>
                </c:pt>
                <c:pt idx="149">
                  <c:v>7587.8540000000003</c:v>
                </c:pt>
                <c:pt idx="150">
                  <c:v>7588.0135</c:v>
                </c:pt>
                <c:pt idx="151">
                  <c:v>7588.027</c:v>
                </c:pt>
                <c:pt idx="152">
                  <c:v>7593.415</c:v>
                </c:pt>
                <c:pt idx="153">
                  <c:v>7594.0339999999997</c:v>
                </c:pt>
                <c:pt idx="154">
                  <c:v>7594.3635000000004</c:v>
                </c:pt>
                <c:pt idx="155">
                  <c:v>7599.8755000000001</c:v>
                </c:pt>
                <c:pt idx="156">
                  <c:v>7599.99</c:v>
                </c:pt>
                <c:pt idx="157">
                  <c:v>7602.01</c:v>
                </c:pt>
                <c:pt idx="158">
                  <c:v>7605.9425000000001</c:v>
                </c:pt>
                <c:pt idx="159">
                  <c:v>7611.4250000000002</c:v>
                </c:pt>
                <c:pt idx="160">
                  <c:v>7630.9785000000002</c:v>
                </c:pt>
                <c:pt idx="161">
                  <c:v>7637.3810000000003</c:v>
                </c:pt>
                <c:pt idx="162">
                  <c:v>7644.1324999999997</c:v>
                </c:pt>
                <c:pt idx="163">
                  <c:v>7647.6760000000004</c:v>
                </c:pt>
                <c:pt idx="164">
                  <c:v>7655.68</c:v>
                </c:pt>
                <c:pt idx="165">
                  <c:v>7660.3879999999999</c:v>
                </c:pt>
                <c:pt idx="166">
                  <c:v>7660.6019999999999</c:v>
                </c:pt>
                <c:pt idx="167">
                  <c:v>7663.6270000000004</c:v>
                </c:pt>
                <c:pt idx="168">
                  <c:v>7669.4989999999998</c:v>
                </c:pt>
                <c:pt idx="169">
                  <c:v>7673.0680000000002</c:v>
                </c:pt>
                <c:pt idx="170">
                  <c:v>7673.2749999999996</c:v>
                </c:pt>
                <c:pt idx="171">
                  <c:v>7679.665</c:v>
                </c:pt>
                <c:pt idx="172">
                  <c:v>7680.8204999999998</c:v>
                </c:pt>
                <c:pt idx="173">
                  <c:v>7681.4960000000001</c:v>
                </c:pt>
                <c:pt idx="174">
                  <c:v>7684.2120000000004</c:v>
                </c:pt>
                <c:pt idx="175">
                  <c:v>7685.6925000000001</c:v>
                </c:pt>
                <c:pt idx="176">
                  <c:v>7690.9920000000002</c:v>
                </c:pt>
                <c:pt idx="177">
                  <c:v>7694.259</c:v>
                </c:pt>
                <c:pt idx="178">
                  <c:v>7695.5725000000002</c:v>
                </c:pt>
                <c:pt idx="179">
                  <c:v>7702.5460000000003</c:v>
                </c:pt>
                <c:pt idx="180">
                  <c:v>7715.0510000000004</c:v>
                </c:pt>
                <c:pt idx="181">
                  <c:v>7720.375</c:v>
                </c:pt>
                <c:pt idx="182">
                  <c:v>7721.82</c:v>
                </c:pt>
                <c:pt idx="183">
                  <c:v>7723.9229999999998</c:v>
                </c:pt>
                <c:pt idx="184">
                  <c:v>7747.5065000000004</c:v>
                </c:pt>
                <c:pt idx="185">
                  <c:v>7756.9759999999997</c:v>
                </c:pt>
                <c:pt idx="186">
                  <c:v>7759.7629999999999</c:v>
                </c:pt>
                <c:pt idx="187">
                  <c:v>7768.1225000000004</c:v>
                </c:pt>
                <c:pt idx="188">
                  <c:v>7772.8765000000003</c:v>
                </c:pt>
                <c:pt idx="189">
                  <c:v>7774.1360000000004</c:v>
                </c:pt>
                <c:pt idx="190">
                  <c:v>7776.5969999999998</c:v>
                </c:pt>
                <c:pt idx="191">
                  <c:v>7779.1109999999999</c:v>
                </c:pt>
                <c:pt idx="192">
                  <c:v>7789.3739999999998</c:v>
                </c:pt>
                <c:pt idx="193">
                  <c:v>7805.1525000000001</c:v>
                </c:pt>
                <c:pt idx="194">
                  <c:v>7810.48</c:v>
                </c:pt>
                <c:pt idx="195">
                  <c:v>7814.6435000000001</c:v>
                </c:pt>
                <c:pt idx="196">
                  <c:v>7817.4705000000004</c:v>
                </c:pt>
                <c:pt idx="197">
                  <c:v>7818.076</c:v>
                </c:pt>
                <c:pt idx="198">
                  <c:v>7821.2430000000004</c:v>
                </c:pt>
                <c:pt idx="199">
                  <c:v>7822.5635000000002</c:v>
                </c:pt>
                <c:pt idx="200">
                  <c:v>7822.6620000000003</c:v>
                </c:pt>
                <c:pt idx="201">
                  <c:v>7823.5690000000004</c:v>
                </c:pt>
                <c:pt idx="202">
                  <c:v>7828.3135000000002</c:v>
                </c:pt>
                <c:pt idx="203">
                  <c:v>7828.6025</c:v>
                </c:pt>
                <c:pt idx="204">
                  <c:v>7831.4155000000001</c:v>
                </c:pt>
                <c:pt idx="205">
                  <c:v>7834.7629999999999</c:v>
                </c:pt>
                <c:pt idx="206">
                  <c:v>7842.0304999999998</c:v>
                </c:pt>
                <c:pt idx="207">
                  <c:v>7843.4430000000002</c:v>
                </c:pt>
                <c:pt idx="208">
                  <c:v>7845.7579999999998</c:v>
                </c:pt>
                <c:pt idx="209">
                  <c:v>7852.8625000000002</c:v>
                </c:pt>
                <c:pt idx="210">
                  <c:v>7853.4719999999998</c:v>
                </c:pt>
                <c:pt idx="211">
                  <c:v>7853.7254999999996</c:v>
                </c:pt>
                <c:pt idx="212">
                  <c:v>7855.6355000000003</c:v>
                </c:pt>
                <c:pt idx="213">
                  <c:v>7856.9189999999999</c:v>
                </c:pt>
                <c:pt idx="214">
                  <c:v>7857.8834999999999</c:v>
                </c:pt>
                <c:pt idx="215">
                  <c:v>7859.9</c:v>
                </c:pt>
                <c:pt idx="216">
                  <c:v>7860.1459999999997</c:v>
                </c:pt>
                <c:pt idx="217">
                  <c:v>7860.9870000000001</c:v>
                </c:pt>
                <c:pt idx="218">
                  <c:v>7864.0744999999997</c:v>
                </c:pt>
                <c:pt idx="219">
                  <c:v>7870.05</c:v>
                </c:pt>
                <c:pt idx="220">
                  <c:v>7871.9179999999997</c:v>
                </c:pt>
                <c:pt idx="221">
                  <c:v>7874.8905000000004</c:v>
                </c:pt>
                <c:pt idx="222">
                  <c:v>7876.6355000000003</c:v>
                </c:pt>
                <c:pt idx="223">
                  <c:v>7883.5659999999998</c:v>
                </c:pt>
                <c:pt idx="224">
                  <c:v>7883.7915000000003</c:v>
                </c:pt>
                <c:pt idx="225">
                  <c:v>7884.8270000000002</c:v>
                </c:pt>
                <c:pt idx="226">
                  <c:v>7884.9989999999998</c:v>
                </c:pt>
                <c:pt idx="227">
                  <c:v>7886.0675000000001</c:v>
                </c:pt>
                <c:pt idx="228">
                  <c:v>7893.9944999999998</c:v>
                </c:pt>
                <c:pt idx="229">
                  <c:v>7897.9409999999998</c:v>
                </c:pt>
                <c:pt idx="230">
                  <c:v>7902.8410000000003</c:v>
                </c:pt>
                <c:pt idx="231">
                  <c:v>7905.241</c:v>
                </c:pt>
                <c:pt idx="232">
                  <c:v>7906.3665000000001</c:v>
                </c:pt>
                <c:pt idx="233">
                  <c:v>7906.857</c:v>
                </c:pt>
                <c:pt idx="234">
                  <c:v>7908.3429999999998</c:v>
                </c:pt>
                <c:pt idx="235">
                  <c:v>7915.2430000000004</c:v>
                </c:pt>
                <c:pt idx="236">
                  <c:v>7918.5225</c:v>
                </c:pt>
                <c:pt idx="237">
                  <c:v>7920.7520000000004</c:v>
                </c:pt>
                <c:pt idx="238">
                  <c:v>7922.9859999999999</c:v>
                </c:pt>
                <c:pt idx="239">
                  <c:v>7925.1220000000003</c:v>
                </c:pt>
                <c:pt idx="240">
                  <c:v>7925.9695000000002</c:v>
                </c:pt>
                <c:pt idx="241">
                  <c:v>7926.7494999999999</c:v>
                </c:pt>
                <c:pt idx="242">
                  <c:v>7929.518</c:v>
                </c:pt>
                <c:pt idx="243">
                  <c:v>7935.6085000000003</c:v>
                </c:pt>
                <c:pt idx="244">
                  <c:v>7936.6045000000004</c:v>
                </c:pt>
                <c:pt idx="245">
                  <c:v>7937.7370000000001</c:v>
                </c:pt>
                <c:pt idx="246">
                  <c:v>7940.81</c:v>
                </c:pt>
                <c:pt idx="247">
                  <c:v>7945.1205</c:v>
                </c:pt>
                <c:pt idx="248">
                  <c:v>7947.0855000000001</c:v>
                </c:pt>
                <c:pt idx="249">
                  <c:v>7951.8085000000001</c:v>
                </c:pt>
                <c:pt idx="250">
                  <c:v>7959.1374999999998</c:v>
                </c:pt>
                <c:pt idx="251">
                  <c:v>7960.1205</c:v>
                </c:pt>
                <c:pt idx="252">
                  <c:v>7961.2614999999996</c:v>
                </c:pt>
                <c:pt idx="253">
                  <c:v>7962.4629999999997</c:v>
                </c:pt>
                <c:pt idx="254">
                  <c:v>7963.4</c:v>
                </c:pt>
                <c:pt idx="255">
                  <c:v>7963.4709999999995</c:v>
                </c:pt>
                <c:pt idx="256">
                  <c:v>7969.4690000000001</c:v>
                </c:pt>
                <c:pt idx="257">
                  <c:v>7970.0604999999996</c:v>
                </c:pt>
                <c:pt idx="258">
                  <c:v>7972.1035000000002</c:v>
                </c:pt>
                <c:pt idx="259">
                  <c:v>7975.643</c:v>
                </c:pt>
                <c:pt idx="260">
                  <c:v>7977.6885000000002</c:v>
                </c:pt>
                <c:pt idx="261">
                  <c:v>7980.7830000000004</c:v>
                </c:pt>
                <c:pt idx="262">
                  <c:v>7980.9835000000003</c:v>
                </c:pt>
                <c:pt idx="263">
                  <c:v>7983.9319999999998</c:v>
                </c:pt>
                <c:pt idx="264">
                  <c:v>7984.3720000000003</c:v>
                </c:pt>
                <c:pt idx="265">
                  <c:v>7986.7969999999996</c:v>
                </c:pt>
                <c:pt idx="266">
                  <c:v>7990.0720000000001</c:v>
                </c:pt>
                <c:pt idx="267">
                  <c:v>7990.2120000000004</c:v>
                </c:pt>
                <c:pt idx="268">
                  <c:v>7990.6085000000003</c:v>
                </c:pt>
                <c:pt idx="269">
                  <c:v>7993.2484999999997</c:v>
                </c:pt>
                <c:pt idx="270">
                  <c:v>7997.3360000000002</c:v>
                </c:pt>
                <c:pt idx="271">
                  <c:v>7997.4234999999999</c:v>
                </c:pt>
                <c:pt idx="272">
                  <c:v>7999.6049999999996</c:v>
                </c:pt>
                <c:pt idx="273">
                  <c:v>8001.7690000000002</c:v>
                </c:pt>
                <c:pt idx="274">
                  <c:v>8007.4264999999996</c:v>
                </c:pt>
                <c:pt idx="275">
                  <c:v>8009.7825000000003</c:v>
                </c:pt>
                <c:pt idx="276">
                  <c:v>8021.3149999999996</c:v>
                </c:pt>
                <c:pt idx="277">
                  <c:v>8023.3235000000004</c:v>
                </c:pt>
                <c:pt idx="278">
                  <c:v>8023.8474999999999</c:v>
                </c:pt>
                <c:pt idx="279">
                  <c:v>8035.2015000000001</c:v>
                </c:pt>
                <c:pt idx="280">
                  <c:v>8040.4274999999998</c:v>
                </c:pt>
                <c:pt idx="281">
                  <c:v>8041.1109999999999</c:v>
                </c:pt>
                <c:pt idx="282">
                  <c:v>8043.9570000000003</c:v>
                </c:pt>
                <c:pt idx="283">
                  <c:v>8048.9660000000003</c:v>
                </c:pt>
                <c:pt idx="284">
                  <c:v>8049.7780000000002</c:v>
                </c:pt>
                <c:pt idx="285">
                  <c:v>8052.2049999999999</c:v>
                </c:pt>
                <c:pt idx="286">
                  <c:v>8053.9144999999999</c:v>
                </c:pt>
                <c:pt idx="287">
                  <c:v>8055.4684999999999</c:v>
                </c:pt>
                <c:pt idx="288">
                  <c:v>8057.5020000000004</c:v>
                </c:pt>
                <c:pt idx="289">
                  <c:v>8060.13</c:v>
                </c:pt>
                <c:pt idx="290">
                  <c:v>8066.643</c:v>
                </c:pt>
                <c:pt idx="291">
                  <c:v>8071.6880000000001</c:v>
                </c:pt>
                <c:pt idx="292">
                  <c:v>8072.3924999999999</c:v>
                </c:pt>
                <c:pt idx="293">
                  <c:v>8079.2735000000002</c:v>
                </c:pt>
                <c:pt idx="294">
                  <c:v>8082.1424999999999</c:v>
                </c:pt>
                <c:pt idx="295">
                  <c:v>8084.9454999999998</c:v>
                </c:pt>
                <c:pt idx="296">
                  <c:v>8088.2809999999999</c:v>
                </c:pt>
                <c:pt idx="297">
                  <c:v>8090.9080000000004</c:v>
                </c:pt>
                <c:pt idx="298">
                  <c:v>8091.2044999999998</c:v>
                </c:pt>
                <c:pt idx="299">
                  <c:v>8092.3924999999999</c:v>
                </c:pt>
                <c:pt idx="300">
                  <c:v>8093.2690000000002</c:v>
                </c:pt>
                <c:pt idx="301">
                  <c:v>8094.0334999999995</c:v>
                </c:pt>
                <c:pt idx="302">
                  <c:v>8097.8215</c:v>
                </c:pt>
                <c:pt idx="303">
                  <c:v>8107.5320000000002</c:v>
                </c:pt>
                <c:pt idx="304">
                  <c:v>8110.0055000000002</c:v>
                </c:pt>
                <c:pt idx="305">
                  <c:v>8113.4250000000002</c:v>
                </c:pt>
                <c:pt idx="306">
                  <c:v>8115.2455</c:v>
                </c:pt>
                <c:pt idx="307">
                  <c:v>8115.5410000000002</c:v>
                </c:pt>
                <c:pt idx="308">
                  <c:v>8117.1030000000001</c:v>
                </c:pt>
                <c:pt idx="309">
                  <c:v>8117.3890000000001</c:v>
                </c:pt>
                <c:pt idx="310">
                  <c:v>8118.8275000000003</c:v>
                </c:pt>
                <c:pt idx="311">
                  <c:v>8120.4414999999999</c:v>
                </c:pt>
                <c:pt idx="312">
                  <c:v>8127.683</c:v>
                </c:pt>
                <c:pt idx="313">
                  <c:v>8133.8924999999999</c:v>
                </c:pt>
                <c:pt idx="314">
                  <c:v>8142.4930000000004</c:v>
                </c:pt>
                <c:pt idx="315">
                  <c:v>8143.1525000000001</c:v>
                </c:pt>
                <c:pt idx="316">
                  <c:v>8149.65</c:v>
                </c:pt>
                <c:pt idx="317">
                  <c:v>8154.1944999999996</c:v>
                </c:pt>
                <c:pt idx="318">
                  <c:v>8156.42</c:v>
                </c:pt>
                <c:pt idx="319">
                  <c:v>8158.3474999999999</c:v>
                </c:pt>
                <c:pt idx="320">
                  <c:v>8163.1764999999996</c:v>
                </c:pt>
                <c:pt idx="321">
                  <c:v>8166.2494999999999</c:v>
                </c:pt>
                <c:pt idx="322">
                  <c:v>8167.6205</c:v>
                </c:pt>
                <c:pt idx="323">
                  <c:v>8170.0254999999997</c:v>
                </c:pt>
                <c:pt idx="324">
                  <c:v>8170.2595000000001</c:v>
                </c:pt>
                <c:pt idx="325">
                  <c:v>8172.5915000000005</c:v>
                </c:pt>
                <c:pt idx="326">
                  <c:v>8173.1925000000001</c:v>
                </c:pt>
                <c:pt idx="327">
                  <c:v>8173.6379999999999</c:v>
                </c:pt>
                <c:pt idx="328">
                  <c:v>8174.5290000000005</c:v>
                </c:pt>
                <c:pt idx="329">
                  <c:v>8175.2664999999997</c:v>
                </c:pt>
                <c:pt idx="330">
                  <c:v>8182.5805</c:v>
                </c:pt>
                <c:pt idx="331">
                  <c:v>8187.067</c:v>
                </c:pt>
                <c:pt idx="332">
                  <c:v>8187.8360000000002</c:v>
                </c:pt>
                <c:pt idx="333">
                  <c:v>8190.4229999999998</c:v>
                </c:pt>
                <c:pt idx="334">
                  <c:v>8193.3240000000005</c:v>
                </c:pt>
                <c:pt idx="335">
                  <c:v>8193.7919999999995</c:v>
                </c:pt>
                <c:pt idx="336">
                  <c:v>8195.9680000000008</c:v>
                </c:pt>
                <c:pt idx="337">
                  <c:v>8200.8739999999998</c:v>
                </c:pt>
                <c:pt idx="338">
                  <c:v>8202.2664999999997</c:v>
                </c:pt>
                <c:pt idx="339">
                  <c:v>8206.5874999999996</c:v>
                </c:pt>
                <c:pt idx="340">
                  <c:v>8207.5244999999995</c:v>
                </c:pt>
                <c:pt idx="341">
                  <c:v>8208.2975000000006</c:v>
                </c:pt>
                <c:pt idx="342">
                  <c:v>8210.4660000000003</c:v>
                </c:pt>
                <c:pt idx="343">
                  <c:v>8214.8690000000006</c:v>
                </c:pt>
                <c:pt idx="344">
                  <c:v>8217.518</c:v>
                </c:pt>
                <c:pt idx="345">
                  <c:v>8217.8549999999996</c:v>
                </c:pt>
                <c:pt idx="346">
                  <c:v>8218.1830000000009</c:v>
                </c:pt>
                <c:pt idx="347">
                  <c:v>8219.9475000000002</c:v>
                </c:pt>
                <c:pt idx="348">
                  <c:v>8221.1049999999996</c:v>
                </c:pt>
                <c:pt idx="349">
                  <c:v>8221.5069999999996</c:v>
                </c:pt>
                <c:pt idx="350">
                  <c:v>8224.3700000000008</c:v>
                </c:pt>
                <c:pt idx="351">
                  <c:v>8226.6384999999991</c:v>
                </c:pt>
                <c:pt idx="352">
                  <c:v>8228.8310000000001</c:v>
                </c:pt>
                <c:pt idx="353">
                  <c:v>8234.5275000000001</c:v>
                </c:pt>
                <c:pt idx="354">
                  <c:v>8236.2564999999995</c:v>
                </c:pt>
                <c:pt idx="355">
                  <c:v>8238.0385000000006</c:v>
                </c:pt>
                <c:pt idx="356">
                  <c:v>8238.5650000000005</c:v>
                </c:pt>
                <c:pt idx="357">
                  <c:v>8240.5195000000003</c:v>
                </c:pt>
                <c:pt idx="358">
                  <c:v>8243.6744999999992</c:v>
                </c:pt>
                <c:pt idx="359">
                  <c:v>8254.5665000000008</c:v>
                </c:pt>
                <c:pt idx="360">
                  <c:v>8261.4804999999997</c:v>
                </c:pt>
                <c:pt idx="361">
                  <c:v>8265.8709999999992</c:v>
                </c:pt>
                <c:pt idx="362">
                  <c:v>8267.5755000000008</c:v>
                </c:pt>
                <c:pt idx="363">
                  <c:v>8271.9429999999993</c:v>
                </c:pt>
                <c:pt idx="364">
                  <c:v>8274.3705000000009</c:v>
                </c:pt>
                <c:pt idx="365">
                  <c:v>8274.3850000000002</c:v>
                </c:pt>
                <c:pt idx="366">
                  <c:v>8284.6684999999998</c:v>
                </c:pt>
                <c:pt idx="367">
                  <c:v>8285.2384999999995</c:v>
                </c:pt>
                <c:pt idx="368">
                  <c:v>8290.4660000000003</c:v>
                </c:pt>
                <c:pt idx="369">
                  <c:v>8303.1090000000004</c:v>
                </c:pt>
                <c:pt idx="370">
                  <c:v>8305.1919999999991</c:v>
                </c:pt>
                <c:pt idx="371">
                  <c:v>8305.8889999999992</c:v>
                </c:pt>
                <c:pt idx="372">
                  <c:v>8307.6309999999994</c:v>
                </c:pt>
                <c:pt idx="373">
                  <c:v>8309.5565000000006</c:v>
                </c:pt>
                <c:pt idx="374">
                  <c:v>8317.5845000000008</c:v>
                </c:pt>
                <c:pt idx="375">
                  <c:v>8322.8714999999993</c:v>
                </c:pt>
                <c:pt idx="376">
                  <c:v>8325.1365000000005</c:v>
                </c:pt>
                <c:pt idx="377">
                  <c:v>8330.7095000000008</c:v>
                </c:pt>
                <c:pt idx="378">
                  <c:v>8334.3824999999997</c:v>
                </c:pt>
                <c:pt idx="379">
                  <c:v>8343.5419999999995</c:v>
                </c:pt>
                <c:pt idx="380">
                  <c:v>8346.3860000000004</c:v>
                </c:pt>
                <c:pt idx="381">
                  <c:v>8349.7075000000004</c:v>
                </c:pt>
                <c:pt idx="382">
                  <c:v>8356.4495000000006</c:v>
                </c:pt>
                <c:pt idx="383">
                  <c:v>8357.8155000000006</c:v>
                </c:pt>
                <c:pt idx="384">
                  <c:v>8361.1144999999997</c:v>
                </c:pt>
                <c:pt idx="385">
                  <c:v>8366.4295000000002</c:v>
                </c:pt>
                <c:pt idx="386">
                  <c:v>8370.6810000000005</c:v>
                </c:pt>
                <c:pt idx="387">
                  <c:v>8380.6124999999993</c:v>
                </c:pt>
                <c:pt idx="388">
                  <c:v>8381.7939999999999</c:v>
                </c:pt>
                <c:pt idx="389">
                  <c:v>8382.8760000000002</c:v>
                </c:pt>
                <c:pt idx="390">
                  <c:v>8383.6049999999996</c:v>
                </c:pt>
                <c:pt idx="391">
                  <c:v>8383.8040000000001</c:v>
                </c:pt>
                <c:pt idx="392">
                  <c:v>8383.884</c:v>
                </c:pt>
                <c:pt idx="393">
                  <c:v>8387.5509999999995</c:v>
                </c:pt>
                <c:pt idx="394">
                  <c:v>8388.0895</c:v>
                </c:pt>
                <c:pt idx="395">
                  <c:v>8389.5720000000001</c:v>
                </c:pt>
                <c:pt idx="396">
                  <c:v>8395.6640000000007</c:v>
                </c:pt>
                <c:pt idx="397">
                  <c:v>8398.2510000000002</c:v>
                </c:pt>
                <c:pt idx="398">
                  <c:v>8399.0079999999998</c:v>
                </c:pt>
                <c:pt idx="399">
                  <c:v>8399.268</c:v>
                </c:pt>
                <c:pt idx="400">
                  <c:v>8399.4639999999999</c:v>
                </c:pt>
                <c:pt idx="401">
                  <c:v>8400.2819999999992</c:v>
                </c:pt>
                <c:pt idx="402">
                  <c:v>8401.1010000000006</c:v>
                </c:pt>
                <c:pt idx="403">
                  <c:v>8401.48</c:v>
                </c:pt>
                <c:pt idx="404">
                  <c:v>8408.1859999999997</c:v>
                </c:pt>
                <c:pt idx="405">
                  <c:v>8409.7019999999993</c:v>
                </c:pt>
                <c:pt idx="406">
                  <c:v>8412.6229999999996</c:v>
                </c:pt>
                <c:pt idx="407">
                  <c:v>8412.9189999999999</c:v>
                </c:pt>
                <c:pt idx="408">
                  <c:v>8414.0959999999995</c:v>
                </c:pt>
                <c:pt idx="409">
                  <c:v>8420.402</c:v>
                </c:pt>
                <c:pt idx="410">
                  <c:v>8428.6589999999997</c:v>
                </c:pt>
                <c:pt idx="411">
                  <c:v>8433.4279999999999</c:v>
                </c:pt>
                <c:pt idx="412">
                  <c:v>8441.41</c:v>
                </c:pt>
                <c:pt idx="413">
                  <c:v>8446.7080000000005</c:v>
                </c:pt>
                <c:pt idx="414">
                  <c:v>8447.384</c:v>
                </c:pt>
                <c:pt idx="415">
                  <c:v>8448.2780000000002</c:v>
                </c:pt>
                <c:pt idx="416">
                  <c:v>8448.7389999999996</c:v>
                </c:pt>
                <c:pt idx="417">
                  <c:v>8450.4580000000005</c:v>
                </c:pt>
                <c:pt idx="418">
                  <c:v>8451.7690000000002</c:v>
                </c:pt>
                <c:pt idx="419">
                  <c:v>8451.7999999999993</c:v>
                </c:pt>
                <c:pt idx="420">
                  <c:v>8452.7340000000004</c:v>
                </c:pt>
                <c:pt idx="421">
                  <c:v>8456.7980000000007</c:v>
                </c:pt>
                <c:pt idx="422">
                  <c:v>8459.1759999999995</c:v>
                </c:pt>
                <c:pt idx="423">
                  <c:v>8460.8169999999991</c:v>
                </c:pt>
                <c:pt idx="424">
                  <c:v>8467.5310000000009</c:v>
                </c:pt>
                <c:pt idx="425">
                  <c:v>8469.768</c:v>
                </c:pt>
                <c:pt idx="426">
                  <c:v>8471.0190000000002</c:v>
                </c:pt>
                <c:pt idx="427">
                  <c:v>8473.3580000000002</c:v>
                </c:pt>
                <c:pt idx="428">
                  <c:v>8474.19</c:v>
                </c:pt>
                <c:pt idx="429">
                  <c:v>8480.9030000000002</c:v>
                </c:pt>
                <c:pt idx="430">
                  <c:v>8482.3809999999994</c:v>
                </c:pt>
                <c:pt idx="431">
                  <c:v>8489.009</c:v>
                </c:pt>
                <c:pt idx="432">
                  <c:v>8492.3189999999995</c:v>
                </c:pt>
                <c:pt idx="433">
                  <c:v>8512.2909999999993</c:v>
                </c:pt>
                <c:pt idx="434">
                  <c:v>8512.8919999999998</c:v>
                </c:pt>
                <c:pt idx="435">
                  <c:v>8524.4330000000009</c:v>
                </c:pt>
                <c:pt idx="436">
                  <c:v>8528.5619999999999</c:v>
                </c:pt>
                <c:pt idx="437">
                  <c:v>8533.6200000000008</c:v>
                </c:pt>
                <c:pt idx="438">
                  <c:v>8537.1939999999995</c:v>
                </c:pt>
                <c:pt idx="439">
                  <c:v>8551.7099999999991</c:v>
                </c:pt>
                <c:pt idx="440">
                  <c:v>8556.1790000000001</c:v>
                </c:pt>
                <c:pt idx="441">
                  <c:v>8557.2070000000003</c:v>
                </c:pt>
                <c:pt idx="442">
                  <c:v>8559.884</c:v>
                </c:pt>
                <c:pt idx="443">
                  <c:v>8570.3829999999998</c:v>
                </c:pt>
                <c:pt idx="444">
                  <c:v>8589.1630000000005</c:v>
                </c:pt>
                <c:pt idx="445">
                  <c:v>8590.4979999999996</c:v>
                </c:pt>
                <c:pt idx="446">
                  <c:v>8591.4539999999997</c:v>
                </c:pt>
                <c:pt idx="447">
                  <c:v>8608.0079999999998</c:v>
                </c:pt>
                <c:pt idx="448">
                  <c:v>8633.7919999999995</c:v>
                </c:pt>
                <c:pt idx="449">
                  <c:v>8643.0540000000001</c:v>
                </c:pt>
                <c:pt idx="450">
                  <c:v>8643.2180000000008</c:v>
                </c:pt>
                <c:pt idx="451">
                  <c:v>8653.107</c:v>
                </c:pt>
                <c:pt idx="452">
                  <c:v>8655.5169999999998</c:v>
                </c:pt>
                <c:pt idx="453">
                  <c:v>8655.7440000000006</c:v>
                </c:pt>
                <c:pt idx="454">
                  <c:v>8656.6949999999997</c:v>
                </c:pt>
                <c:pt idx="455">
                  <c:v>8665.4860000000008</c:v>
                </c:pt>
                <c:pt idx="456">
                  <c:v>8665.6290000000008</c:v>
                </c:pt>
                <c:pt idx="457">
                  <c:v>8667.7729999999992</c:v>
                </c:pt>
                <c:pt idx="458">
                  <c:v>8668.2860000000001</c:v>
                </c:pt>
                <c:pt idx="459">
                  <c:v>8683.5159999999996</c:v>
                </c:pt>
                <c:pt idx="460">
                  <c:v>8684.5239999999994</c:v>
                </c:pt>
                <c:pt idx="461">
                  <c:v>8684.5779999999995</c:v>
                </c:pt>
                <c:pt idx="462">
                  <c:v>8694.4439999999995</c:v>
                </c:pt>
                <c:pt idx="463">
                  <c:v>8705.9740000000002</c:v>
                </c:pt>
                <c:pt idx="464">
                  <c:v>8714.0210000000006</c:v>
                </c:pt>
                <c:pt idx="465">
                  <c:v>8716.9040000000005</c:v>
                </c:pt>
                <c:pt idx="466">
                  <c:v>8722.4009999999998</c:v>
                </c:pt>
                <c:pt idx="467">
                  <c:v>8724.1110000000008</c:v>
                </c:pt>
                <c:pt idx="468">
                  <c:v>8728.2630000000008</c:v>
                </c:pt>
                <c:pt idx="469">
                  <c:v>8729.9629999999997</c:v>
                </c:pt>
                <c:pt idx="470">
                  <c:v>8730.2420000000002</c:v>
                </c:pt>
                <c:pt idx="471">
                  <c:v>8731.4330000000009</c:v>
                </c:pt>
                <c:pt idx="472">
                  <c:v>8733.8320000000003</c:v>
                </c:pt>
                <c:pt idx="473">
                  <c:v>8736.0990000000002</c:v>
                </c:pt>
                <c:pt idx="474">
                  <c:v>8752.4040000000005</c:v>
                </c:pt>
                <c:pt idx="475">
                  <c:v>8756.7199999999993</c:v>
                </c:pt>
                <c:pt idx="476">
                  <c:v>8763.2289999999994</c:v>
                </c:pt>
                <c:pt idx="477">
                  <c:v>8764.6450000000004</c:v>
                </c:pt>
                <c:pt idx="478">
                  <c:v>8775.3379999999997</c:v>
                </c:pt>
                <c:pt idx="479">
                  <c:v>8779.8619999999992</c:v>
                </c:pt>
                <c:pt idx="480">
                  <c:v>8780.4259999999995</c:v>
                </c:pt>
                <c:pt idx="481">
                  <c:v>8782.0609999999997</c:v>
                </c:pt>
                <c:pt idx="482">
                  <c:v>8790.1589999999997</c:v>
                </c:pt>
                <c:pt idx="483">
                  <c:v>8792.875</c:v>
                </c:pt>
                <c:pt idx="484">
                  <c:v>8803.2039999999997</c:v>
                </c:pt>
                <c:pt idx="485">
                  <c:v>8812.0720000000001</c:v>
                </c:pt>
                <c:pt idx="486">
                  <c:v>8814.3320000000003</c:v>
                </c:pt>
                <c:pt idx="487">
                  <c:v>8818.0010000000002</c:v>
                </c:pt>
                <c:pt idx="488">
                  <c:v>8821.8619999999992</c:v>
                </c:pt>
                <c:pt idx="489">
                  <c:v>8824.6080000000002</c:v>
                </c:pt>
                <c:pt idx="490">
                  <c:v>8827.4240000000009</c:v>
                </c:pt>
                <c:pt idx="491">
                  <c:v>8839.7549999999992</c:v>
                </c:pt>
                <c:pt idx="492">
                  <c:v>8839.8420000000006</c:v>
                </c:pt>
                <c:pt idx="493">
                  <c:v>8841.2720000000008</c:v>
                </c:pt>
                <c:pt idx="494">
                  <c:v>8842.6769999999997</c:v>
                </c:pt>
                <c:pt idx="495">
                  <c:v>8850.2890000000007</c:v>
                </c:pt>
                <c:pt idx="496">
                  <c:v>8851.7990000000009</c:v>
                </c:pt>
                <c:pt idx="497">
                  <c:v>8854.6990000000005</c:v>
                </c:pt>
                <c:pt idx="498">
                  <c:v>8859.0460000000003</c:v>
                </c:pt>
                <c:pt idx="499">
                  <c:v>8863.7839999999997</c:v>
                </c:pt>
                <c:pt idx="500">
                  <c:v>8870.7739999999994</c:v>
                </c:pt>
                <c:pt idx="501">
                  <c:v>8871.652</c:v>
                </c:pt>
                <c:pt idx="502">
                  <c:v>8876.8379999999997</c:v>
                </c:pt>
                <c:pt idx="503">
                  <c:v>8885.3369999999995</c:v>
                </c:pt>
                <c:pt idx="504">
                  <c:v>8892.9590000000007</c:v>
                </c:pt>
                <c:pt idx="505">
                  <c:v>8895.6020000000008</c:v>
                </c:pt>
                <c:pt idx="506">
                  <c:v>8901.1659999999993</c:v>
                </c:pt>
                <c:pt idx="507">
                  <c:v>8903.2620000000006</c:v>
                </c:pt>
                <c:pt idx="508">
                  <c:v>8905.3719999999994</c:v>
                </c:pt>
                <c:pt idx="509">
                  <c:v>8921.7090000000007</c:v>
                </c:pt>
                <c:pt idx="510">
                  <c:v>8923.5460000000003</c:v>
                </c:pt>
                <c:pt idx="511">
                  <c:v>8924.4150000000009</c:v>
                </c:pt>
                <c:pt idx="512">
                  <c:v>8948.5750000000007</c:v>
                </c:pt>
                <c:pt idx="513">
                  <c:v>8978.2309999999998</c:v>
                </c:pt>
                <c:pt idx="514">
                  <c:v>8987.5910000000003</c:v>
                </c:pt>
                <c:pt idx="515">
                  <c:v>8991.6389999999992</c:v>
                </c:pt>
                <c:pt idx="516">
                  <c:v>8994.1530000000002</c:v>
                </c:pt>
                <c:pt idx="517">
                  <c:v>9023.4920000000002</c:v>
                </c:pt>
                <c:pt idx="518">
                  <c:v>9028.2540000000008</c:v>
                </c:pt>
                <c:pt idx="519">
                  <c:v>9029.0239999999994</c:v>
                </c:pt>
                <c:pt idx="520">
                  <c:v>9030.8670000000002</c:v>
                </c:pt>
                <c:pt idx="521">
                  <c:v>9033.1540000000005</c:v>
                </c:pt>
                <c:pt idx="522">
                  <c:v>9044.866</c:v>
                </c:pt>
                <c:pt idx="523">
                  <c:v>9045.8349999999991</c:v>
                </c:pt>
                <c:pt idx="524">
                  <c:v>9076.3490000000002</c:v>
                </c:pt>
                <c:pt idx="525">
                  <c:v>9080.48</c:v>
                </c:pt>
                <c:pt idx="526">
                  <c:v>9090.8520000000008</c:v>
                </c:pt>
                <c:pt idx="527">
                  <c:v>9091.0229999999992</c:v>
                </c:pt>
                <c:pt idx="528">
                  <c:v>9092.2489999999998</c:v>
                </c:pt>
                <c:pt idx="529">
                  <c:v>9092.8179999999993</c:v>
                </c:pt>
                <c:pt idx="530">
                  <c:v>9102.1749999999993</c:v>
                </c:pt>
                <c:pt idx="531">
                  <c:v>9108.5079999999998</c:v>
                </c:pt>
                <c:pt idx="532">
                  <c:v>9120.7669999999998</c:v>
                </c:pt>
                <c:pt idx="533">
                  <c:v>9148.0249999999996</c:v>
                </c:pt>
                <c:pt idx="534">
                  <c:v>9156.7540000000008</c:v>
                </c:pt>
                <c:pt idx="535">
                  <c:v>9182.3259999999991</c:v>
                </c:pt>
                <c:pt idx="536">
                  <c:v>9188.33</c:v>
                </c:pt>
                <c:pt idx="537">
                  <c:v>9238.6239999999998</c:v>
                </c:pt>
                <c:pt idx="538">
                  <c:v>9340.0630000000001</c:v>
                </c:pt>
                <c:pt idx="539">
                  <c:v>9555.4750000000004</c:v>
                </c:pt>
                <c:pt idx="540">
                  <c:v>9839.358405149329</c:v>
                </c:pt>
              </c:numCache>
            </c:numRef>
          </c:xVal>
          <c:yVal>
            <c:numRef>
              <c:f>Extrapolation!$E$12:$E$552</c:f>
              <c:numCache>
                <c:formatCode>General</c:formatCode>
                <c:ptCount val="541"/>
                <c:pt idx="0">
                  <c:v>0.86554689787317685</c:v>
                </c:pt>
                <c:pt idx="1">
                  <c:v>0.86325989369166933</c:v>
                </c:pt>
                <c:pt idx="2">
                  <c:v>0.8577297547666991</c:v>
                </c:pt>
                <c:pt idx="3">
                  <c:v>0.85758350001278938</c:v>
                </c:pt>
                <c:pt idx="4">
                  <c:v>0.85539585467808477</c:v>
                </c:pt>
                <c:pt idx="5">
                  <c:v>0.85510886750600579</c:v>
                </c:pt>
                <c:pt idx="6">
                  <c:v>0.85345988686444352</c:v>
                </c:pt>
                <c:pt idx="7">
                  <c:v>0.84605144189791648</c:v>
                </c:pt>
                <c:pt idx="8">
                  <c:v>0.84156429445486824</c:v>
                </c:pt>
                <c:pt idx="9">
                  <c:v>0.84049794017213963</c:v>
                </c:pt>
                <c:pt idx="10">
                  <c:v>0.83997463834166963</c:v>
                </c:pt>
                <c:pt idx="11">
                  <c:v>0.83939113348662286</c:v>
                </c:pt>
                <c:pt idx="12">
                  <c:v>0.83421160498957003</c:v>
                </c:pt>
                <c:pt idx="13">
                  <c:v>0.82893386092539756</c:v>
                </c:pt>
                <c:pt idx="14">
                  <c:v>0.82437621233288572</c:v>
                </c:pt>
                <c:pt idx="15">
                  <c:v>0.75787893812347529</c:v>
                </c:pt>
                <c:pt idx="16">
                  <c:v>0.75138637228355876</c:v>
                </c:pt>
                <c:pt idx="17">
                  <c:v>0.74440237046605406</c:v>
                </c:pt>
                <c:pt idx="18">
                  <c:v>0.74004565859929905</c:v>
                </c:pt>
                <c:pt idx="19">
                  <c:v>0.73846091650509882</c:v>
                </c:pt>
                <c:pt idx="20">
                  <c:v>0.71746001249312996</c:v>
                </c:pt>
                <c:pt idx="21">
                  <c:v>0.69824841672198068</c:v>
                </c:pt>
                <c:pt idx="22">
                  <c:v>0.69583417904399747</c:v>
                </c:pt>
                <c:pt idx="23">
                  <c:v>0.68857437411149047</c:v>
                </c:pt>
                <c:pt idx="24">
                  <c:v>0.68781657675117203</c:v>
                </c:pt>
                <c:pt idx="25">
                  <c:v>0.67923328808907713</c:v>
                </c:pt>
                <c:pt idx="26">
                  <c:v>0.67488401325100256</c:v>
                </c:pt>
                <c:pt idx="27">
                  <c:v>0.65067118606632335</c:v>
                </c:pt>
                <c:pt idx="28">
                  <c:v>0.59462896015304423</c:v>
                </c:pt>
                <c:pt idx="29">
                  <c:v>0.53480594452629371</c:v>
                </c:pt>
                <c:pt idx="30">
                  <c:v>0.49991304821089455</c:v>
                </c:pt>
                <c:pt idx="31">
                  <c:v>0.48796989424398013</c:v>
                </c:pt>
                <c:pt idx="32">
                  <c:v>0.48645088770171296</c:v>
                </c:pt>
                <c:pt idx="33">
                  <c:v>0.48490995485450961</c:v>
                </c:pt>
                <c:pt idx="34">
                  <c:v>0.45993267003029314</c:v>
                </c:pt>
                <c:pt idx="35">
                  <c:v>0.44274574923163895</c:v>
                </c:pt>
                <c:pt idx="36">
                  <c:v>0.44104782074830745</c:v>
                </c:pt>
                <c:pt idx="37">
                  <c:v>0.43412915609603769</c:v>
                </c:pt>
                <c:pt idx="38">
                  <c:v>0.42620048404876348</c:v>
                </c:pt>
                <c:pt idx="39">
                  <c:v>0.42431062633291322</c:v>
                </c:pt>
                <c:pt idx="40">
                  <c:v>0.4239346147915804</c:v>
                </c:pt>
                <c:pt idx="41">
                  <c:v>0.42178029775952941</c:v>
                </c:pt>
                <c:pt idx="42">
                  <c:v>0.41852603717559594</c:v>
                </c:pt>
                <c:pt idx="43">
                  <c:v>0.4167047980687083</c:v>
                </c:pt>
                <c:pt idx="44">
                  <c:v>0.40921103872212733</c:v>
                </c:pt>
                <c:pt idx="45">
                  <c:v>0.40767792799584046</c:v>
                </c:pt>
                <c:pt idx="46">
                  <c:v>0.40734962861446705</c:v>
                </c:pt>
                <c:pt idx="47">
                  <c:v>0.40415092250098517</c:v>
                </c:pt>
                <c:pt idx="48">
                  <c:v>0.39024531623290665</c:v>
                </c:pt>
                <c:pt idx="49">
                  <c:v>0.38868057218484808</c:v>
                </c:pt>
                <c:pt idx="50">
                  <c:v>0.38727264697615638</c:v>
                </c:pt>
                <c:pt idx="51">
                  <c:v>0.37576505075704558</c:v>
                </c:pt>
                <c:pt idx="52">
                  <c:v>0.37110141760238124</c:v>
                </c:pt>
                <c:pt idx="53">
                  <c:v>0.36800309625129918</c:v>
                </c:pt>
                <c:pt idx="54">
                  <c:v>0.36731304357681438</c:v>
                </c:pt>
                <c:pt idx="55">
                  <c:v>0.3646452875097565</c:v>
                </c:pt>
                <c:pt idx="56">
                  <c:v>0.36412760285653256</c:v>
                </c:pt>
                <c:pt idx="57">
                  <c:v>0.36296676159388969</c:v>
                </c:pt>
                <c:pt idx="58">
                  <c:v>0.35957896142010776</c:v>
                </c:pt>
                <c:pt idx="59">
                  <c:v>0.35633194110124078</c:v>
                </c:pt>
                <c:pt idx="60">
                  <c:v>0.35623014815042425</c:v>
                </c:pt>
                <c:pt idx="61">
                  <c:v>0.35280320279338445</c:v>
                </c:pt>
                <c:pt idx="62">
                  <c:v>0.35159680618833017</c:v>
                </c:pt>
                <c:pt idx="63">
                  <c:v>0.34972381456367191</c:v>
                </c:pt>
                <c:pt idx="64">
                  <c:v>0.34870465197150252</c:v>
                </c:pt>
                <c:pt idx="65">
                  <c:v>0.34477682707600554</c:v>
                </c:pt>
                <c:pt idx="66">
                  <c:v>0.33969701684189463</c:v>
                </c:pt>
                <c:pt idx="67">
                  <c:v>0.33670015244540069</c:v>
                </c:pt>
                <c:pt idx="68">
                  <c:v>0.33118133395728666</c:v>
                </c:pt>
                <c:pt idx="69">
                  <c:v>0.32913448167489334</c:v>
                </c:pt>
                <c:pt idx="70">
                  <c:v>0.32352992889129745</c:v>
                </c:pt>
                <c:pt idx="71">
                  <c:v>0.31898772412342985</c:v>
                </c:pt>
                <c:pt idx="72">
                  <c:v>0.31694422101799891</c:v>
                </c:pt>
                <c:pt idx="73">
                  <c:v>0.31687107305183948</c:v>
                </c:pt>
                <c:pt idx="74">
                  <c:v>0.31512058022491335</c:v>
                </c:pt>
                <c:pt idx="75">
                  <c:v>0.3065381165253464</c:v>
                </c:pt>
                <c:pt idx="76">
                  <c:v>0.2991994052029649</c:v>
                </c:pt>
                <c:pt idx="77">
                  <c:v>0.29787732602196898</c:v>
                </c:pt>
                <c:pt idx="78">
                  <c:v>0.29535353743650372</c:v>
                </c:pt>
                <c:pt idx="79">
                  <c:v>0.29292318099185655</c:v>
                </c:pt>
                <c:pt idx="80">
                  <c:v>0.2888184421873573</c:v>
                </c:pt>
                <c:pt idx="81">
                  <c:v>0.28370459178627944</c:v>
                </c:pt>
                <c:pt idx="82">
                  <c:v>0.28086502328800961</c:v>
                </c:pt>
                <c:pt idx="83">
                  <c:v>0.2785638347159633</c:v>
                </c:pt>
                <c:pt idx="84">
                  <c:v>0.27590798425003121</c:v>
                </c:pt>
                <c:pt idx="85">
                  <c:v>0.26373462877803094</c:v>
                </c:pt>
                <c:pt idx="86">
                  <c:v>0.24698878224588719</c:v>
                </c:pt>
                <c:pt idx="87">
                  <c:v>0.24495854266710973</c:v>
                </c:pt>
                <c:pt idx="88">
                  <c:v>0.24102645259431976</c:v>
                </c:pt>
                <c:pt idx="89">
                  <c:v>0.23977659577738236</c:v>
                </c:pt>
                <c:pt idx="90">
                  <c:v>0.22584359271830731</c:v>
                </c:pt>
                <c:pt idx="91">
                  <c:v>0.2249122247368418</c:v>
                </c:pt>
                <c:pt idx="92">
                  <c:v>0.22355175971165001</c:v>
                </c:pt>
                <c:pt idx="93">
                  <c:v>0.22130062073051998</c:v>
                </c:pt>
                <c:pt idx="94">
                  <c:v>0.22098557277455108</c:v>
                </c:pt>
                <c:pt idx="95">
                  <c:v>0.21823158030584835</c:v>
                </c:pt>
                <c:pt idx="96">
                  <c:v>0.21647998311424366</c:v>
                </c:pt>
                <c:pt idx="97">
                  <c:v>0.21329759659300118</c:v>
                </c:pt>
                <c:pt idx="98">
                  <c:v>0.20356946178193455</c:v>
                </c:pt>
                <c:pt idx="99">
                  <c:v>0.2028951457674652</c:v>
                </c:pt>
                <c:pt idx="100">
                  <c:v>0.19778188323737944</c:v>
                </c:pt>
                <c:pt idx="101">
                  <c:v>0.19168148522373749</c:v>
                </c:pt>
                <c:pt idx="102">
                  <c:v>0.18891477716656638</c:v>
                </c:pt>
                <c:pt idx="103">
                  <c:v>0.1835905587379717</c:v>
                </c:pt>
                <c:pt idx="104">
                  <c:v>0.17708984367939337</c:v>
                </c:pt>
                <c:pt idx="105">
                  <c:v>0.17644772535383169</c:v>
                </c:pt>
                <c:pt idx="106">
                  <c:v>0.17120078826668025</c:v>
                </c:pt>
                <c:pt idx="107">
                  <c:v>0.17017862223147759</c:v>
                </c:pt>
                <c:pt idx="108">
                  <c:v>0.16381689758122886</c:v>
                </c:pt>
                <c:pt idx="109">
                  <c:v>0.16358212083772369</c:v>
                </c:pt>
                <c:pt idx="110">
                  <c:v>0.16308221990050983</c:v>
                </c:pt>
                <c:pt idx="111">
                  <c:v>0.16269124149032788</c:v>
                </c:pt>
                <c:pt idx="112">
                  <c:v>0.16245512798908707</c:v>
                </c:pt>
                <c:pt idx="113">
                  <c:v>0.16066781693287274</c:v>
                </c:pt>
                <c:pt idx="114">
                  <c:v>0.15893247639679969</c:v>
                </c:pt>
                <c:pt idx="115">
                  <c:v>0.15764995457600692</c:v>
                </c:pt>
                <c:pt idx="116">
                  <c:v>0.15739426481971561</c:v>
                </c:pt>
                <c:pt idx="117">
                  <c:v>0.15674658516214937</c:v>
                </c:pt>
                <c:pt idx="118">
                  <c:v>0.15373792923894325</c:v>
                </c:pt>
                <c:pt idx="119">
                  <c:v>0.15154016132378864</c:v>
                </c:pt>
                <c:pt idx="120">
                  <c:v>0.15149366104041664</c:v>
                </c:pt>
                <c:pt idx="121">
                  <c:v>0.15145743768140793</c:v>
                </c:pt>
                <c:pt idx="122">
                  <c:v>0.1496858964679641</c:v>
                </c:pt>
                <c:pt idx="123">
                  <c:v>0.1495252695466614</c:v>
                </c:pt>
                <c:pt idx="124">
                  <c:v>0.14906815740147839</c:v>
                </c:pt>
                <c:pt idx="125">
                  <c:v>0.14794542436002467</c:v>
                </c:pt>
                <c:pt idx="126">
                  <c:v>0.14638257172049307</c:v>
                </c:pt>
                <c:pt idx="127">
                  <c:v>0.14572851176562884</c:v>
                </c:pt>
                <c:pt idx="128">
                  <c:v>0.14540607761087701</c:v>
                </c:pt>
                <c:pt idx="129">
                  <c:v>0.14499696500513243</c:v>
                </c:pt>
                <c:pt idx="130">
                  <c:v>0.14356477046418462</c:v>
                </c:pt>
                <c:pt idx="131">
                  <c:v>0.14204879595930481</c:v>
                </c:pt>
                <c:pt idx="132">
                  <c:v>0.13966531686722947</c:v>
                </c:pt>
                <c:pt idx="133">
                  <c:v>0.13858362065508703</c:v>
                </c:pt>
                <c:pt idx="134">
                  <c:v>0.13771699866117387</c:v>
                </c:pt>
                <c:pt idx="135">
                  <c:v>0.13757768372382304</c:v>
                </c:pt>
                <c:pt idx="136">
                  <c:v>0.13592361687873372</c:v>
                </c:pt>
                <c:pt idx="137">
                  <c:v>0.13208227965943892</c:v>
                </c:pt>
                <c:pt idx="138">
                  <c:v>0.12652102800060189</c:v>
                </c:pt>
                <c:pt idx="139">
                  <c:v>0.12644811846757054</c:v>
                </c:pt>
                <c:pt idx="140">
                  <c:v>0.12629659348625688</c:v>
                </c:pt>
                <c:pt idx="141">
                  <c:v>0.12579476361727263</c:v>
                </c:pt>
                <c:pt idx="142">
                  <c:v>0.12559585289050113</c:v>
                </c:pt>
                <c:pt idx="143">
                  <c:v>0.1254208899108146</c:v>
                </c:pt>
                <c:pt idx="144">
                  <c:v>0.12483369474389883</c:v>
                </c:pt>
                <c:pt idx="145">
                  <c:v>0.12295783968349673</c:v>
                </c:pt>
                <c:pt idx="146">
                  <c:v>0.12220577485149756</c:v>
                </c:pt>
                <c:pt idx="147">
                  <c:v>0.12183695187316619</c:v>
                </c:pt>
                <c:pt idx="148">
                  <c:v>0.11982936816084647</c:v>
                </c:pt>
                <c:pt idx="149">
                  <c:v>0.11904448735538999</c:v>
                </c:pt>
                <c:pt idx="150">
                  <c:v>0.11900576496422363</c:v>
                </c:pt>
                <c:pt idx="151">
                  <c:v>0.11900248785659817</c:v>
                </c:pt>
                <c:pt idx="152">
                  <c:v>0.11769874928061695</c:v>
                </c:pt>
                <c:pt idx="153">
                  <c:v>0.11754950526069433</c:v>
                </c:pt>
                <c:pt idx="154">
                  <c:v>0.11747010622533134</c:v>
                </c:pt>
                <c:pt idx="155">
                  <c:v>0.11614653650983812</c:v>
                </c:pt>
                <c:pt idx="156">
                  <c:v>0.11611913522656822</c:v>
                </c:pt>
                <c:pt idx="157">
                  <c:v>0.11563634717472361</c:v>
                </c:pt>
                <c:pt idx="158">
                  <c:v>0.11469984969718719</c:v>
                </c:pt>
                <c:pt idx="159">
                  <c:v>0.11340170507505529</c:v>
                </c:pt>
                <c:pt idx="160">
                  <c:v>0.10884291534543157</c:v>
                </c:pt>
                <c:pt idx="161">
                  <c:v>0.10737440253489434</c:v>
                </c:pt>
                <c:pt idx="162">
                  <c:v>0.10583880258917225</c:v>
                </c:pt>
                <c:pt idx="163">
                  <c:v>0.10503817864467077</c:v>
                </c:pt>
                <c:pt idx="164">
                  <c:v>0.10324326123869915</c:v>
                </c:pt>
                <c:pt idx="165">
                  <c:v>0.10219624169101803</c:v>
                </c:pt>
                <c:pt idx="166">
                  <c:v>0.10214880419118538</c:v>
                </c:pt>
                <c:pt idx="167">
                  <c:v>0.10147968656043088</c:v>
                </c:pt>
                <c:pt idx="168">
                  <c:v>0.10018848291870855</c:v>
                </c:pt>
                <c:pt idx="169">
                  <c:v>9.940863170230739E-2</c:v>
                </c:pt>
                <c:pt idx="170">
                  <c:v>9.9363515449525611E-2</c:v>
                </c:pt>
                <c:pt idx="171">
                  <c:v>9.7976983273998244E-2</c:v>
                </c:pt>
                <c:pt idx="172">
                  <c:v>9.7727537384074512E-2</c:v>
                </c:pt>
                <c:pt idx="173">
                  <c:v>9.7581894068590913E-2</c:v>
                </c:pt>
                <c:pt idx="174">
                  <c:v>9.6997654954259091E-2</c:v>
                </c:pt>
                <c:pt idx="175">
                  <c:v>9.6680096859752901E-2</c:v>
                </c:pt>
                <c:pt idx="176">
                  <c:v>9.5548664790230747E-2</c:v>
                </c:pt>
                <c:pt idx="177">
                  <c:v>9.4855278894488457E-2</c:v>
                </c:pt>
                <c:pt idx="178">
                  <c:v>9.4577386573959588E-2</c:v>
                </c:pt>
                <c:pt idx="179">
                  <c:v>9.311052137392925E-2</c:v>
                </c:pt>
                <c:pt idx="180">
                  <c:v>9.0515910783981232E-2</c:v>
                </c:pt>
                <c:pt idx="181">
                  <c:v>8.9425205167652205E-2</c:v>
                </c:pt>
                <c:pt idx="182">
                  <c:v>8.913061118260876E-2</c:v>
                </c:pt>
                <c:pt idx="183">
                  <c:v>8.8702966045839007E-2</c:v>
                </c:pt>
                <c:pt idx="184">
                  <c:v>8.3996198814823134E-2</c:v>
                </c:pt>
                <c:pt idx="185">
                  <c:v>8.2152188779960236E-2</c:v>
                </c:pt>
                <c:pt idx="186">
                  <c:v>8.1614474156677566E-2</c:v>
                </c:pt>
                <c:pt idx="187">
                  <c:v>8.0015249833142704E-2</c:v>
                </c:pt>
                <c:pt idx="188">
                  <c:v>7.9114890863405077E-2</c:v>
                </c:pt>
                <c:pt idx="189">
                  <c:v>7.8877460338548214E-2</c:v>
                </c:pt>
                <c:pt idx="190">
                  <c:v>7.8414869115392513E-2</c:v>
                </c:pt>
                <c:pt idx="191">
                  <c:v>7.7944139908369237E-2</c:v>
                </c:pt>
                <c:pt idx="192">
                  <c:v>7.6041569725703292E-2</c:v>
                </c:pt>
                <c:pt idx="193">
                  <c:v>7.3176257689189478E-2</c:v>
                </c:pt>
                <c:pt idx="194">
                  <c:v>7.2225104407203963E-2</c:v>
                </c:pt>
                <c:pt idx="195">
                  <c:v>7.1487481487833876E-2</c:v>
                </c:pt>
                <c:pt idx="196">
                  <c:v>7.098949229125931E-2</c:v>
                </c:pt>
                <c:pt idx="197">
                  <c:v>7.0883130541104455E-2</c:v>
                </c:pt>
                <c:pt idx="198">
                  <c:v>7.032853995831348E-2</c:v>
                </c:pt>
                <c:pt idx="199">
                  <c:v>7.0098153937562233E-2</c:v>
                </c:pt>
                <c:pt idx="200">
                  <c:v>7.0080988893763241E-2</c:v>
                </c:pt>
                <c:pt idx="201">
                  <c:v>6.9923062394396662E-2</c:v>
                </c:pt>
                <c:pt idx="202">
                  <c:v>6.9100810050942346E-2</c:v>
                </c:pt>
                <c:pt idx="203">
                  <c:v>6.9050933660617611E-2</c:v>
                </c:pt>
                <c:pt idx="204">
                  <c:v>6.8566712123122056E-2</c:v>
                </c:pt>
                <c:pt idx="205">
                  <c:v>6.7993443405063789E-2</c:v>
                </c:pt>
                <c:pt idx="206">
                  <c:v>6.675991800839505E-2</c:v>
                </c:pt>
                <c:pt idx="207">
                  <c:v>6.6521926010621082E-2</c:v>
                </c:pt>
                <c:pt idx="208">
                  <c:v>6.6133104599965464E-2</c:v>
                </c:pt>
                <c:pt idx="209">
                  <c:v>6.4949396866790229E-2</c:v>
                </c:pt>
                <c:pt idx="210">
                  <c:v>6.484851546075357E-2</c:v>
                </c:pt>
                <c:pt idx="211">
                  <c:v>6.4806588528350376E-2</c:v>
                </c:pt>
                <c:pt idx="212">
                  <c:v>6.4491277038049466E-2</c:v>
                </c:pt>
                <c:pt idx="213">
                  <c:v>6.4279973652531089E-2</c:v>
                </c:pt>
                <c:pt idx="214">
                  <c:v>6.4121495439892415E-2</c:v>
                </c:pt>
                <c:pt idx="215">
                  <c:v>6.3791015167511969E-2</c:v>
                </c:pt>
                <c:pt idx="216">
                  <c:v>6.3750777681369247E-2</c:v>
                </c:pt>
                <c:pt idx="217">
                  <c:v>6.3613347476810619E-2</c:v>
                </c:pt>
                <c:pt idx="218">
                  <c:v>6.3110529501006082E-2</c:v>
                </c:pt>
                <c:pt idx="219">
                  <c:v>6.2145047476643699E-2</c:v>
                </c:pt>
                <c:pt idx="220">
                  <c:v>6.1845298207142359E-2</c:v>
                </c:pt>
                <c:pt idx="221">
                  <c:v>6.1370344089164343E-2</c:v>
                </c:pt>
                <c:pt idx="222">
                  <c:v>6.1092682912479969E-2</c:v>
                </c:pt>
                <c:pt idx="223">
                  <c:v>5.9998367865346791E-2</c:v>
                </c:pt>
                <c:pt idx="224">
                  <c:v>5.9962988296836849E-2</c:v>
                </c:pt>
                <c:pt idx="225">
                  <c:v>5.9800707730991658E-2</c:v>
                </c:pt>
                <c:pt idx="226">
                  <c:v>5.977378149465002E-2</c:v>
                </c:pt>
                <c:pt idx="227">
                  <c:v>5.9606695759931945E-2</c:v>
                </c:pt>
                <c:pt idx="228">
                  <c:v>5.8377090964774038E-2</c:v>
                </c:pt>
                <c:pt idx="229">
                  <c:v>5.7771463524485603E-2</c:v>
                </c:pt>
                <c:pt idx="230">
                  <c:v>5.7025541707394337E-2</c:v>
                </c:pt>
                <c:pt idx="231">
                  <c:v>5.666262379803446E-2</c:v>
                </c:pt>
                <c:pt idx="232">
                  <c:v>5.6492980215854416E-2</c:v>
                </c:pt>
                <c:pt idx="233">
                  <c:v>5.6419158214155961E-2</c:v>
                </c:pt>
                <c:pt idx="234">
                  <c:v>5.6195916293257285E-2</c:v>
                </c:pt>
                <c:pt idx="235">
                  <c:v>5.5167320566644494E-2</c:v>
                </c:pt>
                <c:pt idx="236">
                  <c:v>5.4683039338357491E-2</c:v>
                </c:pt>
                <c:pt idx="237">
                  <c:v>5.4355498802611819E-2</c:v>
                </c:pt>
                <c:pt idx="238">
                  <c:v>5.4028665336785957E-2</c:v>
                </c:pt>
                <c:pt idx="239">
                  <c:v>5.3717448186281103E-2</c:v>
                </c:pt>
                <c:pt idx="240">
                  <c:v>5.3594312719003147E-2</c:v>
                </c:pt>
                <c:pt idx="241">
                  <c:v>5.3481158098295893E-2</c:v>
                </c:pt>
                <c:pt idx="242">
                  <c:v>5.3080873871301004E-2</c:v>
                </c:pt>
                <c:pt idx="243">
                  <c:v>5.2207633126493257E-2</c:v>
                </c:pt>
                <c:pt idx="244">
                  <c:v>5.2065789220112978E-2</c:v>
                </c:pt>
                <c:pt idx="245">
                  <c:v>5.1904833147857959E-2</c:v>
                </c:pt>
                <c:pt idx="246">
                  <c:v>5.1469836926426864E-2</c:v>
                </c:pt>
                <c:pt idx="247">
                  <c:v>5.0863974847232894E-2</c:v>
                </c:pt>
                <c:pt idx="248">
                  <c:v>5.0589449703603788E-2</c:v>
                </c:pt>
                <c:pt idx="249">
                  <c:v>4.9933866055152092E-2</c:v>
                </c:pt>
                <c:pt idx="250">
                  <c:v>4.8928409426105733E-2</c:v>
                </c:pt>
                <c:pt idx="251">
                  <c:v>4.8794646142570258E-2</c:v>
                </c:pt>
                <c:pt idx="252">
                  <c:v>4.863970627200799E-2</c:v>
                </c:pt>
                <c:pt idx="253">
                  <c:v>4.8476926318968175E-2</c:v>
                </c:pt>
                <c:pt idx="254">
                  <c:v>4.8350248026585961E-2</c:v>
                </c:pt>
                <c:pt idx="255">
                  <c:v>4.8340658670208612E-2</c:v>
                </c:pt>
                <c:pt idx="256">
                  <c:v>4.7535400427921329E-2</c:v>
                </c:pt>
                <c:pt idx="257">
                  <c:v>4.7456506238707223E-2</c:v>
                </c:pt>
                <c:pt idx="258">
                  <c:v>4.7184723938873747E-2</c:v>
                </c:pt>
                <c:pt idx="259">
                  <c:v>4.6716473182083607E-2</c:v>
                </c:pt>
                <c:pt idx="260">
                  <c:v>4.6447375380649351E-2</c:v>
                </c:pt>
                <c:pt idx="261">
                  <c:v>4.6042369120776652E-2</c:v>
                </c:pt>
                <c:pt idx="262">
                  <c:v>4.6016214644141594E-2</c:v>
                </c:pt>
                <c:pt idx="263">
                  <c:v>4.5632812212625391E-2</c:v>
                </c:pt>
                <c:pt idx="264">
                  <c:v>4.5575793127019669E-2</c:v>
                </c:pt>
                <c:pt idx="265">
                  <c:v>4.5262449547482785E-2</c:v>
                </c:pt>
                <c:pt idx="266">
                  <c:v>4.4841713313229885E-2</c:v>
                </c:pt>
                <c:pt idx="267">
                  <c:v>4.482379000921928E-2</c:v>
                </c:pt>
                <c:pt idx="268">
                  <c:v>4.4773056371187177E-2</c:v>
                </c:pt>
                <c:pt idx="269">
                  <c:v>4.4436302287113066E-2</c:v>
                </c:pt>
                <c:pt idx="270">
                  <c:v>4.3918480291324384E-2</c:v>
                </c:pt>
                <c:pt idx="271">
                  <c:v>4.3907442788185792E-2</c:v>
                </c:pt>
                <c:pt idx="272">
                  <c:v>4.3632902751034874E-2</c:v>
                </c:pt>
                <c:pt idx="273">
                  <c:v>4.3361780675877114E-2</c:v>
                </c:pt>
                <c:pt idx="274">
                  <c:v>4.2658670240044765E-2</c:v>
                </c:pt>
                <c:pt idx="275">
                  <c:v>4.2368294168505356E-2</c:v>
                </c:pt>
                <c:pt idx="276">
                  <c:v>4.0967378922646992E-2</c:v>
                </c:pt>
                <c:pt idx="277">
                  <c:v>4.0726852899235375E-2</c:v>
                </c:pt>
                <c:pt idx="278">
                  <c:v>4.0664269729513994E-2</c:v>
                </c:pt>
                <c:pt idx="279">
                  <c:v>3.9325215202726707E-2</c:v>
                </c:pt>
                <c:pt idx="280">
                  <c:v>3.8719735515064836E-2</c:v>
                </c:pt>
                <c:pt idx="281">
                  <c:v>3.8641049119826618E-2</c:v>
                </c:pt>
                <c:pt idx="282">
                  <c:v>3.8314657817566052E-2</c:v>
                </c:pt>
                <c:pt idx="283">
                  <c:v>3.7745078998101339E-2</c:v>
                </c:pt>
                <c:pt idx="284">
                  <c:v>3.765332945727564E-2</c:v>
                </c:pt>
                <c:pt idx="285">
                  <c:v>3.7380066067941149E-2</c:v>
                </c:pt>
                <c:pt idx="286">
                  <c:v>3.718845775829998E-2</c:v>
                </c:pt>
                <c:pt idx="287">
                  <c:v>3.7014900979640969E-2</c:v>
                </c:pt>
                <c:pt idx="288">
                  <c:v>3.6788685435744845E-2</c:v>
                </c:pt>
                <c:pt idx="289">
                  <c:v>3.6497832506398736E-2</c:v>
                </c:pt>
                <c:pt idx="290">
                  <c:v>3.5784257291671825E-2</c:v>
                </c:pt>
                <c:pt idx="291">
                  <c:v>3.5238582238915642E-2</c:v>
                </c:pt>
                <c:pt idx="292">
                  <c:v>3.5162870930103451E-2</c:v>
                </c:pt>
                <c:pt idx="293">
                  <c:v>3.4429648611284398E-2</c:v>
                </c:pt>
                <c:pt idx="294">
                  <c:v>3.41272801884712E-2</c:v>
                </c:pt>
                <c:pt idx="295">
                  <c:v>3.3833759950390729E-2</c:v>
                </c:pt>
                <c:pt idx="296">
                  <c:v>3.3486906972307696E-2</c:v>
                </c:pt>
                <c:pt idx="297">
                  <c:v>3.3215581550845384E-2</c:v>
                </c:pt>
                <c:pt idx="298">
                  <c:v>3.3185060266614691E-2</c:v>
                </c:pt>
                <c:pt idx="299">
                  <c:v>3.3062976928210933E-2</c:v>
                </c:pt>
                <c:pt idx="300">
                  <c:v>3.297311739118735E-2</c:v>
                </c:pt>
                <c:pt idx="301">
                  <c:v>3.2894887627128597E-2</c:v>
                </c:pt>
                <c:pt idx="302">
                  <c:v>3.2509291502191319E-2</c:v>
                </c:pt>
                <c:pt idx="303">
                  <c:v>3.153610597692063E-2</c:v>
                </c:pt>
                <c:pt idx="304">
                  <c:v>3.1291704409966765E-2</c:v>
                </c:pt>
                <c:pt idx="305">
                  <c:v>3.0956151068776524E-2</c:v>
                </c:pt>
                <c:pt idx="306">
                  <c:v>3.0778601686126009E-2</c:v>
                </c:pt>
                <c:pt idx="307">
                  <c:v>3.0749853836599193E-2</c:v>
                </c:pt>
                <c:pt idx="308">
                  <c:v>3.0598225794476575E-2</c:v>
                </c:pt>
                <c:pt idx="309">
                  <c:v>3.0570523306360252E-2</c:v>
                </c:pt>
                <c:pt idx="310">
                  <c:v>3.0431470615512993E-2</c:v>
                </c:pt>
                <c:pt idx="311">
                  <c:v>3.0276014627743399E-2</c:v>
                </c:pt>
                <c:pt idx="312">
                  <c:v>2.9585809821494276E-2</c:v>
                </c:pt>
                <c:pt idx="313">
                  <c:v>2.9003384824564736E-2</c:v>
                </c:pt>
                <c:pt idx="314">
                  <c:v>2.8210921052586723E-2</c:v>
                </c:pt>
                <c:pt idx="315">
                  <c:v>2.8150831236553337E-2</c:v>
                </c:pt>
                <c:pt idx="316">
                  <c:v>2.7563940612581071E-2</c:v>
                </c:pt>
                <c:pt idx="317">
                  <c:v>2.7158956403683758E-2</c:v>
                </c:pt>
                <c:pt idx="318">
                  <c:v>2.6962272179948732E-2</c:v>
                </c:pt>
                <c:pt idx="319">
                  <c:v>2.6792793302956173E-2</c:v>
                </c:pt>
                <c:pt idx="320">
                  <c:v>2.6371721710582652E-2</c:v>
                </c:pt>
                <c:pt idx="321">
                  <c:v>2.610638013205524E-2</c:v>
                </c:pt>
                <c:pt idx="322">
                  <c:v>2.5988652459880187E-2</c:v>
                </c:pt>
                <c:pt idx="323">
                  <c:v>2.5783105252419357E-2</c:v>
                </c:pt>
                <c:pt idx="324">
                  <c:v>2.5763171899346918E-2</c:v>
                </c:pt>
                <c:pt idx="325">
                  <c:v>2.5565156315532932E-2</c:v>
                </c:pt>
                <c:pt idx="326">
                  <c:v>2.5514311207823756E-2</c:v>
                </c:pt>
                <c:pt idx="327">
                  <c:v>2.5476670967101059E-2</c:v>
                </c:pt>
                <c:pt idx="328">
                  <c:v>2.5401516640217961E-2</c:v>
                </c:pt>
                <c:pt idx="329">
                  <c:v>2.5339436886222123E-2</c:v>
                </c:pt>
                <c:pt idx="330">
                  <c:v>2.4729980198350571E-2</c:v>
                </c:pt>
                <c:pt idx="331">
                  <c:v>2.4361677932379339E-2</c:v>
                </c:pt>
                <c:pt idx="332">
                  <c:v>2.4298970598968822E-2</c:v>
                </c:pt>
                <c:pt idx="333">
                  <c:v>2.4088916843811377E-2</c:v>
                </c:pt>
                <c:pt idx="334">
                  <c:v>2.3855013960332277E-2</c:v>
                </c:pt>
                <c:pt idx="335">
                  <c:v>2.3817442457956702E-2</c:v>
                </c:pt>
                <c:pt idx="336">
                  <c:v>2.3643342633269712E-2</c:v>
                </c:pt>
                <c:pt idx="337">
                  <c:v>2.3254377286690931E-2</c:v>
                </c:pt>
                <c:pt idx="338">
                  <c:v>2.3144869590450406E-2</c:v>
                </c:pt>
                <c:pt idx="339">
                  <c:v>2.280756661997457E-2</c:v>
                </c:pt>
                <c:pt idx="340">
                  <c:v>2.2734921407033763E-2</c:v>
                </c:pt>
                <c:pt idx="341">
                  <c:v>2.2675124314191074E-2</c:v>
                </c:pt>
                <c:pt idx="342">
                  <c:v>2.2508017129786662E-2</c:v>
                </c:pt>
                <c:pt idx="343">
                  <c:v>2.2171617284745079E-2</c:v>
                </c:pt>
                <c:pt idx="344">
                  <c:v>2.197109110847028E-2</c:v>
                </c:pt>
                <c:pt idx="345">
                  <c:v>2.1945680622748008E-2</c:v>
                </c:pt>
                <c:pt idx="346">
                  <c:v>2.192097039760009E-2</c:v>
                </c:pt>
                <c:pt idx="347">
                  <c:v>2.1788405819408121E-2</c:v>
                </c:pt>
                <c:pt idx="348">
                  <c:v>2.1701778956837926E-2</c:v>
                </c:pt>
                <c:pt idx="349">
                  <c:v>2.1671755341727564E-2</c:v>
                </c:pt>
                <c:pt idx="350">
                  <c:v>2.1458851461932143E-2</c:v>
                </c:pt>
                <c:pt idx="351">
                  <c:v>2.1291300558679813E-2</c:v>
                </c:pt>
                <c:pt idx="352">
                  <c:v>2.1130320185438364E-2</c:v>
                </c:pt>
                <c:pt idx="353">
                  <c:v>2.0716439259866059E-2</c:v>
                </c:pt>
                <c:pt idx="354">
                  <c:v>2.0592061534276753E-2</c:v>
                </c:pt>
                <c:pt idx="355">
                  <c:v>2.0464474082701651E-2</c:v>
                </c:pt>
                <c:pt idx="356">
                  <c:v>2.0426894654917833E-2</c:v>
                </c:pt>
                <c:pt idx="357">
                  <c:v>2.0287855570749774E-2</c:v>
                </c:pt>
                <c:pt idx="358">
                  <c:v>2.0064957101807848E-2</c:v>
                </c:pt>
                <c:pt idx="359">
                  <c:v>1.9309949864994552E-2</c:v>
                </c:pt>
                <c:pt idx="360">
                  <c:v>1.8842224354786996E-2</c:v>
                </c:pt>
                <c:pt idx="361">
                  <c:v>1.8549804464372145E-2</c:v>
                </c:pt>
                <c:pt idx="362">
                  <c:v>1.8437234239391746E-2</c:v>
                </c:pt>
                <c:pt idx="363">
                  <c:v>1.8151213223493778E-2</c:v>
                </c:pt>
                <c:pt idx="364">
                  <c:v>1.7993738752882411E-2</c:v>
                </c:pt>
                <c:pt idx="365">
                  <c:v>1.7992801327564541E-2</c:v>
                </c:pt>
                <c:pt idx="366">
                  <c:v>1.7337487008422518E-2</c:v>
                </c:pt>
                <c:pt idx="367">
                  <c:v>1.7301716122523875E-2</c:v>
                </c:pt>
                <c:pt idx="368">
                  <c:v>1.6976339259642006E-2</c:v>
                </c:pt>
                <c:pt idx="369">
                  <c:v>1.6209156048214515E-2</c:v>
                </c:pt>
                <c:pt idx="370">
                  <c:v>1.6085408949182409E-2</c:v>
                </c:pt>
                <c:pt idx="371">
                  <c:v>1.6044167338682535E-2</c:v>
                </c:pt>
                <c:pt idx="372">
                  <c:v>1.594145553467969E-2</c:v>
                </c:pt>
                <c:pt idx="373">
                  <c:v>1.5828525314811524E-2</c:v>
                </c:pt>
                <c:pt idx="374">
                  <c:v>1.5364437187663756E-2</c:v>
                </c:pt>
                <c:pt idx="375">
                  <c:v>1.5064695098388165E-2</c:v>
                </c:pt>
                <c:pt idx="376">
                  <c:v>1.4937700545532281E-2</c:v>
                </c:pt>
                <c:pt idx="377">
                  <c:v>1.4628822569023241E-2</c:v>
                </c:pt>
                <c:pt idx="378">
                  <c:v>1.4428020980578054E-2</c:v>
                </c:pt>
                <c:pt idx="379">
                  <c:v>1.3936750602492857E-2</c:v>
                </c:pt>
                <c:pt idx="380">
                  <c:v>1.3786936651600612E-2</c:v>
                </c:pt>
                <c:pt idx="381">
                  <c:v>1.3613587070243386E-2</c:v>
                </c:pt>
                <c:pt idx="382">
                  <c:v>1.3267034962464657E-2</c:v>
                </c:pt>
                <c:pt idx="383">
                  <c:v>1.3197680685212864E-2</c:v>
                </c:pt>
                <c:pt idx="384">
                  <c:v>1.3031371490189427E-2</c:v>
                </c:pt>
                <c:pt idx="385">
                  <c:v>1.2766938996655092E-2</c:v>
                </c:pt>
                <c:pt idx="386">
                  <c:v>1.2558506348129956E-2</c:v>
                </c:pt>
                <c:pt idx="387">
                  <c:v>1.2082161342847215E-2</c:v>
                </c:pt>
                <c:pt idx="388">
                  <c:v>1.2026466269577003E-2</c:v>
                </c:pt>
                <c:pt idx="389">
                  <c:v>1.1975641550136746E-2</c:v>
                </c:pt>
                <c:pt idx="390">
                  <c:v>1.194149510164382E-2</c:v>
                </c:pt>
                <c:pt idx="391">
                  <c:v>1.1932187441975014E-2</c:v>
                </c:pt>
                <c:pt idx="392">
                  <c:v>1.1928447302690383E-2</c:v>
                </c:pt>
                <c:pt idx="393">
                  <c:v>1.1758011421369204E-2</c:v>
                </c:pt>
                <c:pt idx="394">
                  <c:v>1.1733147635662647E-2</c:v>
                </c:pt>
                <c:pt idx="395">
                  <c:v>1.1664914308355197E-2</c:v>
                </c:pt>
                <c:pt idx="396">
                  <c:v>1.1387849317717171E-2</c:v>
                </c:pt>
                <c:pt idx="397">
                  <c:v>1.1271798097956922E-2</c:v>
                </c:pt>
                <c:pt idx="398">
                  <c:v>1.1238019374907685E-2</c:v>
                </c:pt>
                <c:pt idx="399">
                  <c:v>1.1226436435119794E-2</c:v>
                </c:pt>
                <c:pt idx="400">
                  <c:v>1.1217711007604755E-2</c:v>
                </c:pt>
                <c:pt idx="401">
                  <c:v>1.1181354367257767E-2</c:v>
                </c:pt>
                <c:pt idx="402">
                  <c:v>1.1145047978485107E-2</c:v>
                </c:pt>
                <c:pt idx="403">
                  <c:v>1.1128278876789287E-2</c:v>
                </c:pt>
                <c:pt idx="404">
                  <c:v>1.0834899312302044E-2</c:v>
                </c:pt>
                <c:pt idx="405">
                  <c:v>1.0769444701421093E-2</c:v>
                </c:pt>
                <c:pt idx="406">
                  <c:v>1.0644223785976447E-2</c:v>
                </c:pt>
                <c:pt idx="407">
                  <c:v>1.0631600090146753E-2</c:v>
                </c:pt>
                <c:pt idx="408">
                  <c:v>1.0581522863619925E-2</c:v>
                </c:pt>
                <c:pt idx="409">
                  <c:v>1.0316445544726551E-2</c:v>
                </c:pt>
                <c:pt idx="410">
                  <c:v>9.9774682637147425E-3</c:v>
                </c:pt>
                <c:pt idx="411">
                  <c:v>9.7858149580833144E-3</c:v>
                </c:pt>
                <c:pt idx="412">
                  <c:v>9.4716988793715623E-3</c:v>
                </c:pt>
                <c:pt idx="413">
                  <c:v>9.2677461624309648E-3</c:v>
                </c:pt>
                <c:pt idx="414">
                  <c:v>9.2419805178258745E-3</c:v>
                </c:pt>
                <c:pt idx="415">
                  <c:v>9.2079949436029741E-3</c:v>
                </c:pt>
                <c:pt idx="416">
                  <c:v>9.1905095386718635E-3</c:v>
                </c:pt>
                <c:pt idx="417">
                  <c:v>9.1255460457618804E-3</c:v>
                </c:pt>
                <c:pt idx="418">
                  <c:v>9.0762519620741292E-3</c:v>
                </c:pt>
                <c:pt idx="419">
                  <c:v>9.075088967804493E-3</c:v>
                </c:pt>
                <c:pt idx="420">
                  <c:v>9.040105675565669E-3</c:v>
                </c:pt>
                <c:pt idx="421">
                  <c:v>8.8891576331157612E-3</c:v>
                </c:pt>
                <c:pt idx="422">
                  <c:v>8.8017848419675374E-3</c:v>
                </c:pt>
                <c:pt idx="423">
                  <c:v>8.7418984978478824E-3</c:v>
                </c:pt>
                <c:pt idx="424">
                  <c:v>8.5003154654814204E-3</c:v>
                </c:pt>
                <c:pt idx="425">
                  <c:v>8.4210400267563067E-3</c:v>
                </c:pt>
                <c:pt idx="426">
                  <c:v>8.3769696084288435E-3</c:v>
                </c:pt>
                <c:pt idx="427">
                  <c:v>8.2950744479433347E-3</c:v>
                </c:pt>
                <c:pt idx="428">
                  <c:v>8.2661013443617991E-3</c:v>
                </c:pt>
                <c:pt idx="429">
                  <c:v>8.0353333989289528E-3</c:v>
                </c:pt>
                <c:pt idx="430">
                  <c:v>7.9852374790875709E-3</c:v>
                </c:pt>
                <c:pt idx="431">
                  <c:v>7.7637078241489391E-3</c:v>
                </c:pt>
                <c:pt idx="432">
                  <c:v>7.6549704262018764E-3</c:v>
                </c:pt>
                <c:pt idx="433">
                  <c:v>7.0249745103563689E-3</c:v>
                </c:pt>
                <c:pt idx="434">
                  <c:v>7.0066968889132717E-3</c:v>
                </c:pt>
                <c:pt idx="435">
                  <c:v>6.6632117172157066E-3</c:v>
                </c:pt>
                <c:pt idx="436">
                  <c:v>6.5437379295887176E-3</c:v>
                </c:pt>
                <c:pt idx="437">
                  <c:v>6.3997910593682423E-3</c:v>
                </c:pt>
                <c:pt idx="438">
                  <c:v>6.2996583353102983E-3</c:v>
                </c:pt>
                <c:pt idx="439">
                  <c:v>5.9061427758957188E-3</c:v>
                </c:pt>
                <c:pt idx="440">
                  <c:v>5.7891646212455553E-3</c:v>
                </c:pt>
                <c:pt idx="441">
                  <c:v>5.7625291089697297E-3</c:v>
                </c:pt>
                <c:pt idx="442">
                  <c:v>5.6936433018944972E-3</c:v>
                </c:pt>
                <c:pt idx="443">
                  <c:v>5.4300218776308709E-3</c:v>
                </c:pt>
                <c:pt idx="444">
                  <c:v>4.9837198759866575E-3</c:v>
                </c:pt>
                <c:pt idx="445">
                  <c:v>4.9531917971522106E-3</c:v>
                </c:pt>
                <c:pt idx="446">
                  <c:v>4.9314262364099134E-3</c:v>
                </c:pt>
                <c:pt idx="447">
                  <c:v>4.566979396794158E-3</c:v>
                </c:pt>
                <c:pt idx="448">
                  <c:v>4.0442538794911737E-3</c:v>
                </c:pt>
                <c:pt idx="449">
                  <c:v>3.8691695061016523E-3</c:v>
                </c:pt>
                <c:pt idx="450">
                  <c:v>3.8661276114862232E-3</c:v>
                </c:pt>
                <c:pt idx="451">
                  <c:v>3.6863793054972183E-3</c:v>
                </c:pt>
                <c:pt idx="452">
                  <c:v>3.6436551287305592E-3</c:v>
                </c:pt>
                <c:pt idx="453">
                  <c:v>3.6396524565455992E-3</c:v>
                </c:pt>
                <c:pt idx="454">
                  <c:v>3.62292374170724E-3</c:v>
                </c:pt>
                <c:pt idx="455">
                  <c:v>3.4713246753137993E-3</c:v>
                </c:pt>
                <c:pt idx="456">
                  <c:v>3.4689035530968059E-3</c:v>
                </c:pt>
                <c:pt idx="457">
                  <c:v>3.4327739076403241E-3</c:v>
                </c:pt>
                <c:pt idx="458">
                  <c:v>3.4241762689882983E-3</c:v>
                </c:pt>
                <c:pt idx="459">
                  <c:v>3.1770726045469654E-3</c:v>
                </c:pt>
                <c:pt idx="460">
                  <c:v>3.161264045226729E-3</c:v>
                </c:pt>
                <c:pt idx="461">
                  <c:v>3.160419037730039E-3</c:v>
                </c:pt>
                <c:pt idx="462">
                  <c:v>3.0092029145024858E-3</c:v>
                </c:pt>
                <c:pt idx="463">
                  <c:v>2.840287430549618E-3</c:v>
                </c:pt>
                <c:pt idx="464">
                  <c:v>2.7272221875448044E-3</c:v>
                </c:pt>
                <c:pt idx="465">
                  <c:v>2.6876552006463682E-3</c:v>
                </c:pt>
                <c:pt idx="466">
                  <c:v>2.6135632476050196E-3</c:v>
                </c:pt>
                <c:pt idx="467">
                  <c:v>2.5908719253914764E-3</c:v>
                </c:pt>
                <c:pt idx="468">
                  <c:v>2.536471996963567E-3</c:v>
                </c:pt>
                <c:pt idx="469">
                  <c:v>2.514480535248549E-3</c:v>
                </c:pt>
                <c:pt idx="470">
                  <c:v>2.5108868957810131E-3</c:v>
                </c:pt>
                <c:pt idx="471">
                  <c:v>2.4955954255225375E-3</c:v>
                </c:pt>
                <c:pt idx="472">
                  <c:v>2.4650347754617873E-3</c:v>
                </c:pt>
                <c:pt idx="473">
                  <c:v>2.436449125495746E-3</c:v>
                </c:pt>
                <c:pt idx="474">
                  <c:v>2.2390515745056333E-3</c:v>
                </c:pt>
                <c:pt idx="475">
                  <c:v>2.1891459248618425E-3</c:v>
                </c:pt>
                <c:pt idx="476">
                  <c:v>2.1156815149981556E-3</c:v>
                </c:pt>
                <c:pt idx="477">
                  <c:v>2.0999820340841741E-3</c:v>
                </c:pt>
                <c:pt idx="478">
                  <c:v>1.9846123314614353E-3</c:v>
                </c:pt>
                <c:pt idx="479">
                  <c:v>1.9374617843897915E-3</c:v>
                </c:pt>
                <c:pt idx="480">
                  <c:v>1.9316514837816219E-3</c:v>
                </c:pt>
                <c:pt idx="481">
                  <c:v>1.9148921499259595E-3</c:v>
                </c:pt>
                <c:pt idx="482">
                  <c:v>1.83371089145567E-3</c:v>
                </c:pt>
                <c:pt idx="483">
                  <c:v>1.8071535439251718E-3</c:v>
                </c:pt>
                <c:pt idx="484">
                  <c:v>1.7091504207805239E-3</c:v>
                </c:pt>
                <c:pt idx="485">
                  <c:v>1.6286914612162811E-3</c:v>
                </c:pt>
                <c:pt idx="486">
                  <c:v>1.6087159913464591E-3</c:v>
                </c:pt>
                <c:pt idx="487">
                  <c:v>1.576736188017456E-3</c:v>
                </c:pt>
                <c:pt idx="488">
                  <c:v>1.5436760442302422E-3</c:v>
                </c:pt>
                <c:pt idx="489">
                  <c:v>1.5205285097570555E-3</c:v>
                </c:pt>
                <c:pt idx="490">
                  <c:v>1.4971024963695216E-3</c:v>
                </c:pt>
                <c:pt idx="491">
                  <c:v>1.3981532398874724E-3</c:v>
                </c:pt>
                <c:pt idx="492">
                  <c:v>1.397475705451328E-3</c:v>
                </c:pt>
                <c:pt idx="493">
                  <c:v>1.3863798223175295E-3</c:v>
                </c:pt>
                <c:pt idx="494">
                  <c:v>1.3755521903441061E-3</c:v>
                </c:pt>
                <c:pt idx="495">
                  <c:v>1.3181526520910534E-3</c:v>
                </c:pt>
                <c:pt idx="496">
                  <c:v>1.3070160819229123E-3</c:v>
                </c:pt>
                <c:pt idx="497">
                  <c:v>1.2858562610851458E-3</c:v>
                </c:pt>
                <c:pt idx="498">
                  <c:v>1.2546942604096784E-3</c:v>
                </c:pt>
                <c:pt idx="499">
                  <c:v>1.2214767666437309E-3</c:v>
                </c:pt>
                <c:pt idx="500">
                  <c:v>1.1738639241699632E-3</c:v>
                </c:pt>
                <c:pt idx="501">
                  <c:v>1.1679987820530384E-3</c:v>
                </c:pt>
                <c:pt idx="502">
                  <c:v>1.1338718692022278E-3</c:v>
                </c:pt>
                <c:pt idx="503">
                  <c:v>1.0798150589152141E-3</c:v>
                </c:pt>
                <c:pt idx="504">
                  <c:v>1.0332565800835237E-3</c:v>
                </c:pt>
                <c:pt idx="505">
                  <c:v>1.017525111617165E-3</c:v>
                </c:pt>
                <c:pt idx="506">
                  <c:v>9.8508766017565779E-4</c:v>
                </c:pt>
                <c:pt idx="507">
                  <c:v>9.7310396084350384E-4</c:v>
                </c:pt>
                <c:pt idx="508">
                  <c:v>9.6116874168720578E-4</c:v>
                </c:pt>
                <c:pt idx="509">
                  <c:v>8.7299866978892543E-4</c:v>
                </c:pt>
                <c:pt idx="510">
                  <c:v>8.6354083681036741E-4</c:v>
                </c:pt>
                <c:pt idx="511">
                  <c:v>8.5909804853779345E-4</c:v>
                </c:pt>
                <c:pt idx="512">
                  <c:v>7.4331792845395474E-4</c:v>
                </c:pt>
                <c:pt idx="513">
                  <c:v>6.2006335955106906E-4</c:v>
                </c:pt>
                <c:pt idx="514">
                  <c:v>5.8508731734016389E-4</c:v>
                </c:pt>
                <c:pt idx="515">
                  <c:v>5.7050697752525175E-4</c:v>
                </c:pt>
                <c:pt idx="516">
                  <c:v>5.6161383292891256E-4</c:v>
                </c:pt>
                <c:pt idx="517">
                  <c:v>4.6650771395382917E-4</c:v>
                </c:pt>
                <c:pt idx="518">
                  <c:v>4.5249473292879628E-4</c:v>
                </c:pt>
                <c:pt idx="519">
                  <c:v>4.502641850147601E-4</c:v>
                </c:pt>
                <c:pt idx="520">
                  <c:v>4.4496479852912922E-4</c:v>
                </c:pt>
                <c:pt idx="521">
                  <c:v>4.3846548444606066E-4</c:v>
                </c:pt>
                <c:pt idx="522">
                  <c:v>4.0648050816387152E-4</c:v>
                </c:pt>
                <c:pt idx="523">
                  <c:v>4.0392920942699005E-4</c:v>
                </c:pt>
                <c:pt idx="524">
                  <c:v>3.3051012707386072E-4</c:v>
                </c:pt>
                <c:pt idx="525">
                  <c:v>3.2154256999521186E-4</c:v>
                </c:pt>
                <c:pt idx="526">
                  <c:v>2.9997348307385022E-4</c:v>
                </c:pt>
                <c:pt idx="527">
                  <c:v>2.9962894243194951E-4</c:v>
                </c:pt>
                <c:pt idx="528">
                  <c:v>2.9716902614651937E-4</c:v>
                </c:pt>
                <c:pt idx="529">
                  <c:v>2.9603347313205747E-4</c:v>
                </c:pt>
                <c:pt idx="530">
                  <c:v>2.7790579205185846E-4</c:v>
                </c:pt>
                <c:pt idx="531">
                  <c:v>2.6620470124669128E-4</c:v>
                </c:pt>
                <c:pt idx="532">
                  <c:v>2.4479576053695114E-4</c:v>
                </c:pt>
                <c:pt idx="533">
                  <c:v>2.0260718256920953E-4</c:v>
                </c:pt>
                <c:pt idx="534">
                  <c:v>1.9054517199199993E-4</c:v>
                </c:pt>
                <c:pt idx="535">
                  <c:v>1.5882384039024496E-4</c:v>
                </c:pt>
                <c:pt idx="536">
                  <c:v>1.5210110120228968E-4</c:v>
                </c:pt>
                <c:pt idx="537">
                  <c:v>1.0507744611455007E-4</c:v>
                </c:pt>
                <c:pt idx="538">
                  <c:v>4.776452257531669E-5</c:v>
                </c:pt>
                <c:pt idx="539">
                  <c:v>7.3038898622064468E-6</c:v>
                </c:pt>
                <c:pt idx="540">
                  <c:v>3.8051750380517503E-7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5E-4199-9375-3D257A86D959}"/>
            </c:ext>
          </c:extLst>
        </c:ser>
        <c:ser>
          <c:idx val="2"/>
          <c:order val="2"/>
          <c:tx>
            <c:v>50-year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Extrapolation!$N$14:$O$14</c:f>
              <c:numCache>
                <c:formatCode>General</c:formatCode>
                <c:ptCount val="2"/>
                <c:pt idx="0">
                  <c:v>0</c:v>
                </c:pt>
                <c:pt idx="1">
                  <c:v>20000</c:v>
                </c:pt>
              </c:numCache>
            </c:numRef>
          </c:xVal>
          <c:yVal>
            <c:numRef>
              <c:f>Extrapolation!$N$15:$O$15</c:f>
              <c:numCache>
                <c:formatCode>General</c:formatCode>
                <c:ptCount val="2"/>
                <c:pt idx="0">
                  <c:v>3.8051750380517503E-7</c:v>
                </c:pt>
                <c:pt idx="1">
                  <c:v>3.8051750380517503E-7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5E-4199-9375-3D257A86D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82656"/>
        <c:axId val="488980032"/>
      </c:scatterChart>
      <c:valAx>
        <c:axId val="488982656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/>
                  <a:t>Mx(kNm)</a:t>
                </a:r>
              </a:p>
            </c:rich>
          </c:tx>
          <c:layout>
            <c:manualLayout>
              <c:xMode val="edge"/>
              <c:yMode val="edge"/>
              <c:x val="0.47917872733774602"/>
              <c:y val="0.90322580645161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8980032"/>
        <c:crossesAt val="1.0000000000000005E-7"/>
        <c:crossBetween val="midCat"/>
      </c:valAx>
      <c:valAx>
        <c:axId val="488980032"/>
        <c:scaling>
          <c:logBase val="10"/>
          <c:orientation val="minMax"/>
          <c:min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/>
                  <a:t>probability of exceedance Load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056555269922879E-2"/>
              <c:y val="0.25851595969858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89826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altLang="zh-CN"/>
              <a:t>My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47892542843906"/>
          <c:y val="0.14223798266351459"/>
          <c:w val="0.70030133150191931"/>
          <c:h val="0.69104943442353395"/>
        </c:manualLayout>
      </c:layout>
      <c:scatterChart>
        <c:scatterStyle val="lineMarker"/>
        <c:varyColors val="0"/>
        <c:ser>
          <c:idx val="0"/>
          <c:order val="0"/>
          <c:tx>
            <c:v>My_Pro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Extrapolation!$G$12:$G$552</c:f>
              <c:numCache>
                <c:formatCode>General</c:formatCode>
                <c:ptCount val="541"/>
                <c:pt idx="0">
                  <c:v>5624.7134999999998</c:v>
                </c:pt>
                <c:pt idx="1">
                  <c:v>5885.5654999999997</c:v>
                </c:pt>
                <c:pt idx="2">
                  <c:v>5993.6239999999998</c:v>
                </c:pt>
                <c:pt idx="3">
                  <c:v>6282.9975000000004</c:v>
                </c:pt>
                <c:pt idx="4">
                  <c:v>6293.7560000000003</c:v>
                </c:pt>
                <c:pt idx="5">
                  <c:v>6416.1414999999997</c:v>
                </c:pt>
                <c:pt idx="6">
                  <c:v>6418.6109999999999</c:v>
                </c:pt>
                <c:pt idx="7">
                  <c:v>6475.9049999999997</c:v>
                </c:pt>
                <c:pt idx="8">
                  <c:v>6573.0805</c:v>
                </c:pt>
                <c:pt idx="9">
                  <c:v>6676.3815000000004</c:v>
                </c:pt>
                <c:pt idx="10">
                  <c:v>6785.2920000000004</c:v>
                </c:pt>
                <c:pt idx="11">
                  <c:v>6799.8275000000003</c:v>
                </c:pt>
                <c:pt idx="12">
                  <c:v>6881.2690000000002</c:v>
                </c:pt>
                <c:pt idx="13">
                  <c:v>6912.9544999999998</c:v>
                </c:pt>
                <c:pt idx="14">
                  <c:v>7248.6824999999999</c:v>
                </c:pt>
                <c:pt idx="15">
                  <c:v>10081.438</c:v>
                </c:pt>
                <c:pt idx="16">
                  <c:v>10167.035</c:v>
                </c:pt>
                <c:pt idx="17">
                  <c:v>10334.153</c:v>
                </c:pt>
                <c:pt idx="18">
                  <c:v>10415.138000000001</c:v>
                </c:pt>
                <c:pt idx="19">
                  <c:v>10472.677</c:v>
                </c:pt>
                <c:pt idx="20">
                  <c:v>10499.484</c:v>
                </c:pt>
                <c:pt idx="21">
                  <c:v>10530.054</c:v>
                </c:pt>
                <c:pt idx="22">
                  <c:v>10534.968000000001</c:v>
                </c:pt>
                <c:pt idx="23">
                  <c:v>10578.025</c:v>
                </c:pt>
                <c:pt idx="24">
                  <c:v>10585.02</c:v>
                </c:pt>
                <c:pt idx="25">
                  <c:v>10586.116</c:v>
                </c:pt>
                <c:pt idx="26">
                  <c:v>10598.055</c:v>
                </c:pt>
                <c:pt idx="27">
                  <c:v>10599.099</c:v>
                </c:pt>
                <c:pt idx="28">
                  <c:v>10629.424999999999</c:v>
                </c:pt>
                <c:pt idx="29">
                  <c:v>10652.987999999999</c:v>
                </c:pt>
                <c:pt idx="30">
                  <c:v>10664.909</c:v>
                </c:pt>
                <c:pt idx="31">
                  <c:v>10670.037</c:v>
                </c:pt>
                <c:pt idx="32">
                  <c:v>10686.388999999999</c:v>
                </c:pt>
                <c:pt idx="33">
                  <c:v>10696.486000000001</c:v>
                </c:pt>
                <c:pt idx="34">
                  <c:v>10703.904</c:v>
                </c:pt>
                <c:pt idx="35">
                  <c:v>10705.538</c:v>
                </c:pt>
                <c:pt idx="36">
                  <c:v>10710.21</c:v>
                </c:pt>
                <c:pt idx="37">
                  <c:v>10726.272999999999</c:v>
                </c:pt>
                <c:pt idx="38">
                  <c:v>10733.601000000001</c:v>
                </c:pt>
                <c:pt idx="39">
                  <c:v>10758.316999999999</c:v>
                </c:pt>
                <c:pt idx="40">
                  <c:v>10767.529</c:v>
                </c:pt>
                <c:pt idx="41">
                  <c:v>10806.300999999999</c:v>
                </c:pt>
                <c:pt idx="42">
                  <c:v>10833.503000000001</c:v>
                </c:pt>
                <c:pt idx="43">
                  <c:v>10859.38</c:v>
                </c:pt>
                <c:pt idx="44">
                  <c:v>10864.152</c:v>
                </c:pt>
                <c:pt idx="45">
                  <c:v>10881.312</c:v>
                </c:pt>
                <c:pt idx="46">
                  <c:v>10886.655000000001</c:v>
                </c:pt>
                <c:pt idx="47">
                  <c:v>10887.987999999999</c:v>
                </c:pt>
                <c:pt idx="48">
                  <c:v>10890.423000000001</c:v>
                </c:pt>
                <c:pt idx="49">
                  <c:v>10894.819</c:v>
                </c:pt>
                <c:pt idx="50">
                  <c:v>10901.852000000001</c:v>
                </c:pt>
                <c:pt idx="51">
                  <c:v>10904.912</c:v>
                </c:pt>
                <c:pt idx="52">
                  <c:v>10913.648999999999</c:v>
                </c:pt>
                <c:pt idx="53">
                  <c:v>10913.678</c:v>
                </c:pt>
                <c:pt idx="54">
                  <c:v>10916.842000000001</c:v>
                </c:pt>
                <c:pt idx="55">
                  <c:v>10943.33</c:v>
                </c:pt>
                <c:pt idx="56">
                  <c:v>10960.566999999999</c:v>
                </c:pt>
                <c:pt idx="57">
                  <c:v>10976.707</c:v>
                </c:pt>
                <c:pt idx="58">
                  <c:v>10982.111000000001</c:v>
                </c:pt>
                <c:pt idx="59">
                  <c:v>10984.009</c:v>
                </c:pt>
                <c:pt idx="60">
                  <c:v>10992.638000000001</c:v>
                </c:pt>
                <c:pt idx="61">
                  <c:v>10999.705</c:v>
                </c:pt>
                <c:pt idx="62">
                  <c:v>11004.118</c:v>
                </c:pt>
                <c:pt idx="63">
                  <c:v>11027.460999999999</c:v>
                </c:pt>
                <c:pt idx="64">
                  <c:v>11032.638000000001</c:v>
                </c:pt>
                <c:pt idx="65">
                  <c:v>11034.964</c:v>
                </c:pt>
                <c:pt idx="66">
                  <c:v>11036.741</c:v>
                </c:pt>
                <c:pt idx="67">
                  <c:v>11040.394</c:v>
                </c:pt>
                <c:pt idx="68">
                  <c:v>11040.434999999999</c:v>
                </c:pt>
                <c:pt idx="69">
                  <c:v>11041.183999999999</c:v>
                </c:pt>
                <c:pt idx="70">
                  <c:v>11044.722</c:v>
                </c:pt>
                <c:pt idx="71">
                  <c:v>11045.536</c:v>
                </c:pt>
                <c:pt idx="72">
                  <c:v>11064.25</c:v>
                </c:pt>
                <c:pt idx="73">
                  <c:v>11066.450999999999</c:v>
                </c:pt>
                <c:pt idx="74">
                  <c:v>11068.517</c:v>
                </c:pt>
                <c:pt idx="75">
                  <c:v>11069</c:v>
                </c:pt>
                <c:pt idx="76">
                  <c:v>11092.861000000001</c:v>
                </c:pt>
                <c:pt idx="77">
                  <c:v>11096.716</c:v>
                </c:pt>
                <c:pt idx="78">
                  <c:v>11101.36</c:v>
                </c:pt>
                <c:pt idx="79">
                  <c:v>11112.736999999999</c:v>
                </c:pt>
                <c:pt idx="80">
                  <c:v>11115.236000000001</c:v>
                </c:pt>
                <c:pt idx="81">
                  <c:v>11118.546</c:v>
                </c:pt>
                <c:pt idx="82">
                  <c:v>11121.617</c:v>
                </c:pt>
                <c:pt idx="83">
                  <c:v>11130.745999999999</c:v>
                </c:pt>
                <c:pt idx="84">
                  <c:v>11136.241</c:v>
                </c:pt>
                <c:pt idx="85">
                  <c:v>11142.665000000001</c:v>
                </c:pt>
                <c:pt idx="86">
                  <c:v>11152.513000000001</c:v>
                </c:pt>
                <c:pt idx="87">
                  <c:v>11164.696</c:v>
                </c:pt>
                <c:pt idx="88">
                  <c:v>11165.755999999999</c:v>
                </c:pt>
                <c:pt idx="89">
                  <c:v>11175.722</c:v>
                </c:pt>
                <c:pt idx="90">
                  <c:v>11178.877</c:v>
                </c:pt>
                <c:pt idx="91">
                  <c:v>11182.811</c:v>
                </c:pt>
                <c:pt idx="92">
                  <c:v>11193.681</c:v>
                </c:pt>
                <c:pt idx="93">
                  <c:v>11195.967000000001</c:v>
                </c:pt>
                <c:pt idx="94">
                  <c:v>11198.43</c:v>
                </c:pt>
                <c:pt idx="95">
                  <c:v>11203.428</c:v>
                </c:pt>
                <c:pt idx="96">
                  <c:v>11212.210999999999</c:v>
                </c:pt>
                <c:pt idx="97">
                  <c:v>11222.189</c:v>
                </c:pt>
                <c:pt idx="98">
                  <c:v>11223.037</c:v>
                </c:pt>
                <c:pt idx="99">
                  <c:v>11227.407999999999</c:v>
                </c:pt>
                <c:pt idx="100">
                  <c:v>11243.501</c:v>
                </c:pt>
                <c:pt idx="101">
                  <c:v>11244.69</c:v>
                </c:pt>
                <c:pt idx="102">
                  <c:v>11245.949000000001</c:v>
                </c:pt>
                <c:pt idx="103">
                  <c:v>11252.272000000001</c:v>
                </c:pt>
                <c:pt idx="104">
                  <c:v>11254.064</c:v>
                </c:pt>
                <c:pt idx="105">
                  <c:v>11254.12</c:v>
                </c:pt>
                <c:pt idx="106">
                  <c:v>11265.599</c:v>
                </c:pt>
                <c:pt idx="107">
                  <c:v>11266.5</c:v>
                </c:pt>
                <c:pt idx="108">
                  <c:v>11274.84</c:v>
                </c:pt>
                <c:pt idx="109">
                  <c:v>11275.379000000001</c:v>
                </c:pt>
                <c:pt idx="110">
                  <c:v>11277.529</c:v>
                </c:pt>
                <c:pt idx="111">
                  <c:v>11279.358</c:v>
                </c:pt>
                <c:pt idx="112">
                  <c:v>11283.663</c:v>
                </c:pt>
                <c:pt idx="113">
                  <c:v>11296.22</c:v>
                </c:pt>
                <c:pt idx="114">
                  <c:v>11296.544</c:v>
                </c:pt>
                <c:pt idx="115">
                  <c:v>11297.424000000001</c:v>
                </c:pt>
                <c:pt idx="116">
                  <c:v>11298.531000000001</c:v>
                </c:pt>
                <c:pt idx="117">
                  <c:v>11299.42</c:v>
                </c:pt>
                <c:pt idx="118">
                  <c:v>11300.178</c:v>
                </c:pt>
                <c:pt idx="119">
                  <c:v>11321.169</c:v>
                </c:pt>
                <c:pt idx="120">
                  <c:v>11337.442999999999</c:v>
                </c:pt>
                <c:pt idx="121">
                  <c:v>11346.483</c:v>
                </c:pt>
                <c:pt idx="122">
                  <c:v>11360.764999999999</c:v>
                </c:pt>
                <c:pt idx="123">
                  <c:v>11369.629000000001</c:v>
                </c:pt>
                <c:pt idx="124">
                  <c:v>11371.81</c:v>
                </c:pt>
                <c:pt idx="125">
                  <c:v>11373.200999999999</c:v>
                </c:pt>
                <c:pt idx="126">
                  <c:v>11379.162</c:v>
                </c:pt>
                <c:pt idx="127">
                  <c:v>11383.141</c:v>
                </c:pt>
                <c:pt idx="128">
                  <c:v>11386.744000000001</c:v>
                </c:pt>
                <c:pt idx="129">
                  <c:v>11387.923000000001</c:v>
                </c:pt>
                <c:pt idx="130">
                  <c:v>11389.672</c:v>
                </c:pt>
                <c:pt idx="131">
                  <c:v>11390.313</c:v>
                </c:pt>
                <c:pt idx="132">
                  <c:v>11391.239</c:v>
                </c:pt>
                <c:pt idx="133">
                  <c:v>11392.88</c:v>
                </c:pt>
                <c:pt idx="134">
                  <c:v>11400.709000000001</c:v>
                </c:pt>
                <c:pt idx="135">
                  <c:v>11408.696</c:v>
                </c:pt>
                <c:pt idx="136">
                  <c:v>11415.834000000001</c:v>
                </c:pt>
                <c:pt idx="137">
                  <c:v>11425.584000000001</c:v>
                </c:pt>
                <c:pt idx="138">
                  <c:v>11427.796</c:v>
                </c:pt>
                <c:pt idx="139">
                  <c:v>11430.508</c:v>
                </c:pt>
                <c:pt idx="140">
                  <c:v>11447.975</c:v>
                </c:pt>
                <c:pt idx="141">
                  <c:v>11448.995999999999</c:v>
                </c:pt>
                <c:pt idx="142">
                  <c:v>11452.532999999999</c:v>
                </c:pt>
                <c:pt idx="143">
                  <c:v>11454.251</c:v>
                </c:pt>
                <c:pt idx="144">
                  <c:v>11466.591</c:v>
                </c:pt>
                <c:pt idx="145">
                  <c:v>11471.838</c:v>
                </c:pt>
                <c:pt idx="146">
                  <c:v>11495.041999999999</c:v>
                </c:pt>
                <c:pt idx="147">
                  <c:v>11496.522000000001</c:v>
                </c:pt>
                <c:pt idx="148">
                  <c:v>11497.657999999999</c:v>
                </c:pt>
                <c:pt idx="149">
                  <c:v>11498.441999999999</c:v>
                </c:pt>
                <c:pt idx="150">
                  <c:v>11507.633</c:v>
                </c:pt>
                <c:pt idx="151">
                  <c:v>11508.758</c:v>
                </c:pt>
                <c:pt idx="152">
                  <c:v>11512.828</c:v>
                </c:pt>
                <c:pt idx="153">
                  <c:v>11520.924999999999</c:v>
                </c:pt>
                <c:pt idx="154">
                  <c:v>11542.385</c:v>
                </c:pt>
                <c:pt idx="155">
                  <c:v>11547.934999999999</c:v>
                </c:pt>
                <c:pt idx="156">
                  <c:v>11556.199000000001</c:v>
                </c:pt>
                <c:pt idx="157">
                  <c:v>11571.634</c:v>
                </c:pt>
                <c:pt idx="158">
                  <c:v>11579.456</c:v>
                </c:pt>
                <c:pt idx="159">
                  <c:v>11590.161</c:v>
                </c:pt>
                <c:pt idx="160">
                  <c:v>11597.001</c:v>
                </c:pt>
                <c:pt idx="161">
                  <c:v>11601.86</c:v>
                </c:pt>
                <c:pt idx="162">
                  <c:v>11605.085999999999</c:v>
                </c:pt>
                <c:pt idx="163">
                  <c:v>11607.431</c:v>
                </c:pt>
                <c:pt idx="164">
                  <c:v>11609.155000000001</c:v>
                </c:pt>
                <c:pt idx="165">
                  <c:v>11611.392</c:v>
                </c:pt>
                <c:pt idx="166">
                  <c:v>11635.745000000001</c:v>
                </c:pt>
                <c:pt idx="167">
                  <c:v>11637.455</c:v>
                </c:pt>
                <c:pt idx="168">
                  <c:v>11670.454</c:v>
                </c:pt>
                <c:pt idx="169">
                  <c:v>11671.893</c:v>
                </c:pt>
                <c:pt idx="170">
                  <c:v>11681.581</c:v>
                </c:pt>
                <c:pt idx="171">
                  <c:v>11682.271000000001</c:v>
                </c:pt>
                <c:pt idx="172">
                  <c:v>11682.284</c:v>
                </c:pt>
                <c:pt idx="173">
                  <c:v>11690.396000000001</c:v>
                </c:pt>
                <c:pt idx="174">
                  <c:v>11691.415000000001</c:v>
                </c:pt>
                <c:pt idx="175">
                  <c:v>11693.453</c:v>
                </c:pt>
                <c:pt idx="176">
                  <c:v>11722.093999999999</c:v>
                </c:pt>
                <c:pt idx="177">
                  <c:v>11724.33</c:v>
                </c:pt>
                <c:pt idx="178">
                  <c:v>11740.727999999999</c:v>
                </c:pt>
                <c:pt idx="179">
                  <c:v>11743.755999999999</c:v>
                </c:pt>
                <c:pt idx="180">
                  <c:v>11746.727999999999</c:v>
                </c:pt>
                <c:pt idx="181">
                  <c:v>11752.465</c:v>
                </c:pt>
                <c:pt idx="182">
                  <c:v>11758.232</c:v>
                </c:pt>
                <c:pt idx="183">
                  <c:v>11759.427</c:v>
                </c:pt>
                <c:pt idx="184">
                  <c:v>11760.489</c:v>
                </c:pt>
                <c:pt idx="185">
                  <c:v>11761.902</c:v>
                </c:pt>
                <c:pt idx="186">
                  <c:v>11765.183000000001</c:v>
                </c:pt>
                <c:pt idx="187">
                  <c:v>11782.627</c:v>
                </c:pt>
                <c:pt idx="188">
                  <c:v>11784.736000000001</c:v>
                </c:pt>
                <c:pt idx="189">
                  <c:v>11791.772999999999</c:v>
                </c:pt>
                <c:pt idx="190">
                  <c:v>11793.307000000001</c:v>
                </c:pt>
                <c:pt idx="191">
                  <c:v>11803.215</c:v>
                </c:pt>
                <c:pt idx="192">
                  <c:v>11804.915000000001</c:v>
                </c:pt>
                <c:pt idx="193">
                  <c:v>11811.682000000001</c:v>
                </c:pt>
                <c:pt idx="194">
                  <c:v>11814.295</c:v>
                </c:pt>
                <c:pt idx="195">
                  <c:v>11821.853999999999</c:v>
                </c:pt>
                <c:pt idx="196">
                  <c:v>11828.441999999999</c:v>
                </c:pt>
                <c:pt idx="197">
                  <c:v>11836.364</c:v>
                </c:pt>
                <c:pt idx="198">
                  <c:v>11855.197</c:v>
                </c:pt>
                <c:pt idx="199">
                  <c:v>11862.083000000001</c:v>
                </c:pt>
                <c:pt idx="200">
                  <c:v>11868.808000000001</c:v>
                </c:pt>
                <c:pt idx="201">
                  <c:v>11879.173000000001</c:v>
                </c:pt>
                <c:pt idx="202">
                  <c:v>11884.995999999999</c:v>
                </c:pt>
                <c:pt idx="203">
                  <c:v>11895.207</c:v>
                </c:pt>
                <c:pt idx="204">
                  <c:v>11901.981</c:v>
                </c:pt>
                <c:pt idx="205">
                  <c:v>11914.039000000001</c:v>
                </c:pt>
                <c:pt idx="206">
                  <c:v>11914.287</c:v>
                </c:pt>
                <c:pt idx="207">
                  <c:v>11917.583000000001</c:v>
                </c:pt>
                <c:pt idx="208">
                  <c:v>11938.933999999999</c:v>
                </c:pt>
                <c:pt idx="209">
                  <c:v>11939.718000000001</c:v>
                </c:pt>
                <c:pt idx="210">
                  <c:v>11942.263999999999</c:v>
                </c:pt>
                <c:pt idx="211">
                  <c:v>11946.736000000001</c:v>
                </c:pt>
                <c:pt idx="212">
                  <c:v>11952.183000000001</c:v>
                </c:pt>
                <c:pt idx="213">
                  <c:v>11953.825999999999</c:v>
                </c:pt>
                <c:pt idx="214">
                  <c:v>11954.554</c:v>
                </c:pt>
                <c:pt idx="215">
                  <c:v>11954.909</c:v>
                </c:pt>
                <c:pt idx="216">
                  <c:v>11959.753000000001</c:v>
                </c:pt>
                <c:pt idx="217">
                  <c:v>11960.228999999999</c:v>
                </c:pt>
                <c:pt idx="218">
                  <c:v>11963.218000000001</c:v>
                </c:pt>
                <c:pt idx="219">
                  <c:v>11965.358</c:v>
                </c:pt>
                <c:pt idx="220">
                  <c:v>11967.643</c:v>
                </c:pt>
                <c:pt idx="221">
                  <c:v>11969.858</c:v>
                </c:pt>
                <c:pt idx="222">
                  <c:v>11970.027</c:v>
                </c:pt>
                <c:pt idx="223">
                  <c:v>11974.33</c:v>
                </c:pt>
                <c:pt idx="224">
                  <c:v>11975.695</c:v>
                </c:pt>
                <c:pt idx="225">
                  <c:v>11977.156999999999</c:v>
                </c:pt>
                <c:pt idx="226">
                  <c:v>11982.342000000001</c:v>
                </c:pt>
                <c:pt idx="227">
                  <c:v>11987.763000000001</c:v>
                </c:pt>
                <c:pt idx="228">
                  <c:v>11991.040999999999</c:v>
                </c:pt>
                <c:pt idx="229">
                  <c:v>11994.058999999999</c:v>
                </c:pt>
                <c:pt idx="230">
                  <c:v>11999.584999999999</c:v>
                </c:pt>
                <c:pt idx="231">
                  <c:v>12002.617</c:v>
                </c:pt>
                <c:pt idx="232">
                  <c:v>12003.755999999999</c:v>
                </c:pt>
                <c:pt idx="233">
                  <c:v>12012.548000000001</c:v>
                </c:pt>
                <c:pt idx="234">
                  <c:v>12023.162</c:v>
                </c:pt>
                <c:pt idx="235">
                  <c:v>12025.763000000001</c:v>
                </c:pt>
                <c:pt idx="236">
                  <c:v>12025.766</c:v>
                </c:pt>
                <c:pt idx="237">
                  <c:v>12027.552</c:v>
                </c:pt>
                <c:pt idx="238">
                  <c:v>12027.98</c:v>
                </c:pt>
                <c:pt idx="239">
                  <c:v>12035.15</c:v>
                </c:pt>
                <c:pt idx="240">
                  <c:v>12054.898999999999</c:v>
                </c:pt>
                <c:pt idx="241">
                  <c:v>12057.456</c:v>
                </c:pt>
                <c:pt idx="242">
                  <c:v>12063.7</c:v>
                </c:pt>
                <c:pt idx="243">
                  <c:v>12070.271000000001</c:v>
                </c:pt>
                <c:pt idx="244">
                  <c:v>12070.371999999999</c:v>
                </c:pt>
                <c:pt idx="245">
                  <c:v>12073.227000000001</c:v>
                </c:pt>
                <c:pt idx="246">
                  <c:v>12080.102000000001</c:v>
                </c:pt>
                <c:pt idx="247">
                  <c:v>12080.422</c:v>
                </c:pt>
                <c:pt idx="248">
                  <c:v>12081.634</c:v>
                </c:pt>
                <c:pt idx="249">
                  <c:v>12081.728999999999</c:v>
                </c:pt>
                <c:pt idx="250">
                  <c:v>12087.064</c:v>
                </c:pt>
                <c:pt idx="251">
                  <c:v>12090.888999999999</c:v>
                </c:pt>
                <c:pt idx="252">
                  <c:v>12103.352000000001</c:v>
                </c:pt>
                <c:pt idx="253">
                  <c:v>12120.851000000001</c:v>
                </c:pt>
                <c:pt idx="254">
                  <c:v>12132.618</c:v>
                </c:pt>
                <c:pt idx="255">
                  <c:v>12156.767</c:v>
                </c:pt>
                <c:pt idx="256">
                  <c:v>12160.609</c:v>
                </c:pt>
                <c:pt idx="257">
                  <c:v>12160.717000000001</c:v>
                </c:pt>
                <c:pt idx="258">
                  <c:v>12162.334999999999</c:v>
                </c:pt>
                <c:pt idx="259">
                  <c:v>12164.101000000001</c:v>
                </c:pt>
                <c:pt idx="260">
                  <c:v>12167.803</c:v>
                </c:pt>
                <c:pt idx="261">
                  <c:v>12171.002</c:v>
                </c:pt>
                <c:pt idx="262">
                  <c:v>12173.144</c:v>
                </c:pt>
                <c:pt idx="263">
                  <c:v>12173.232</c:v>
                </c:pt>
                <c:pt idx="264">
                  <c:v>12176.922</c:v>
                </c:pt>
                <c:pt idx="265">
                  <c:v>12186.665999999999</c:v>
                </c:pt>
                <c:pt idx="266">
                  <c:v>12192.262000000001</c:v>
                </c:pt>
                <c:pt idx="267">
                  <c:v>12207.674000000001</c:v>
                </c:pt>
                <c:pt idx="268">
                  <c:v>12211.864</c:v>
                </c:pt>
                <c:pt idx="269">
                  <c:v>12215.914000000001</c:v>
                </c:pt>
                <c:pt idx="270">
                  <c:v>12219.700999999999</c:v>
                </c:pt>
                <c:pt idx="271">
                  <c:v>12223.687</c:v>
                </c:pt>
                <c:pt idx="272">
                  <c:v>12229.552</c:v>
                </c:pt>
                <c:pt idx="273">
                  <c:v>12232.473</c:v>
                </c:pt>
                <c:pt idx="274">
                  <c:v>12233.844999999999</c:v>
                </c:pt>
                <c:pt idx="275">
                  <c:v>12235.995999999999</c:v>
                </c:pt>
                <c:pt idx="276">
                  <c:v>12250.027</c:v>
                </c:pt>
                <c:pt idx="277">
                  <c:v>12260.069</c:v>
                </c:pt>
                <c:pt idx="278">
                  <c:v>12267.537</c:v>
                </c:pt>
                <c:pt idx="279">
                  <c:v>12273.257</c:v>
                </c:pt>
                <c:pt idx="280">
                  <c:v>12285.712</c:v>
                </c:pt>
                <c:pt idx="281">
                  <c:v>12287.157999999999</c:v>
                </c:pt>
                <c:pt idx="282">
                  <c:v>12323.299000000001</c:v>
                </c:pt>
                <c:pt idx="283">
                  <c:v>12327.271000000001</c:v>
                </c:pt>
                <c:pt idx="284">
                  <c:v>12337.031999999999</c:v>
                </c:pt>
                <c:pt idx="285">
                  <c:v>12340.678</c:v>
                </c:pt>
                <c:pt idx="286">
                  <c:v>12358.195</c:v>
                </c:pt>
                <c:pt idx="287">
                  <c:v>12362.715</c:v>
                </c:pt>
                <c:pt idx="288">
                  <c:v>12374.013000000001</c:v>
                </c:pt>
                <c:pt idx="289">
                  <c:v>12380.664000000001</c:v>
                </c:pt>
                <c:pt idx="290">
                  <c:v>12385.584999999999</c:v>
                </c:pt>
                <c:pt idx="291">
                  <c:v>12390.43</c:v>
                </c:pt>
                <c:pt idx="292">
                  <c:v>12398.004999999999</c:v>
                </c:pt>
                <c:pt idx="293">
                  <c:v>12418.16</c:v>
                </c:pt>
                <c:pt idx="294">
                  <c:v>12423.031999999999</c:v>
                </c:pt>
                <c:pt idx="295">
                  <c:v>12427.741</c:v>
                </c:pt>
                <c:pt idx="296">
                  <c:v>12429.627</c:v>
                </c:pt>
                <c:pt idx="297">
                  <c:v>12432.407999999999</c:v>
                </c:pt>
                <c:pt idx="298">
                  <c:v>12433.504000000001</c:v>
                </c:pt>
                <c:pt idx="299">
                  <c:v>12434.628000000001</c:v>
                </c:pt>
                <c:pt idx="300">
                  <c:v>12444.278</c:v>
                </c:pt>
                <c:pt idx="301">
                  <c:v>12463.029</c:v>
                </c:pt>
                <c:pt idx="302">
                  <c:v>12466.427</c:v>
                </c:pt>
                <c:pt idx="303">
                  <c:v>12466.87</c:v>
                </c:pt>
                <c:pt idx="304">
                  <c:v>12472.198</c:v>
                </c:pt>
                <c:pt idx="305">
                  <c:v>12477.911</c:v>
                </c:pt>
                <c:pt idx="306">
                  <c:v>12489.96</c:v>
                </c:pt>
                <c:pt idx="307">
                  <c:v>12504.101000000001</c:v>
                </c:pt>
                <c:pt idx="308">
                  <c:v>12508.331</c:v>
                </c:pt>
                <c:pt idx="309">
                  <c:v>12509.498</c:v>
                </c:pt>
                <c:pt idx="310">
                  <c:v>12520.357</c:v>
                </c:pt>
                <c:pt idx="311">
                  <c:v>12532.154</c:v>
                </c:pt>
                <c:pt idx="312">
                  <c:v>12536.587</c:v>
                </c:pt>
                <c:pt idx="313">
                  <c:v>12536.77</c:v>
                </c:pt>
                <c:pt idx="314">
                  <c:v>12547.949000000001</c:v>
                </c:pt>
                <c:pt idx="315">
                  <c:v>12557.68</c:v>
                </c:pt>
                <c:pt idx="316">
                  <c:v>12558.018</c:v>
                </c:pt>
                <c:pt idx="317">
                  <c:v>12574.141</c:v>
                </c:pt>
                <c:pt idx="318">
                  <c:v>12576.591</c:v>
                </c:pt>
                <c:pt idx="319">
                  <c:v>12586.362999999999</c:v>
                </c:pt>
                <c:pt idx="320">
                  <c:v>12588.785</c:v>
                </c:pt>
                <c:pt idx="321">
                  <c:v>12597.227999999999</c:v>
                </c:pt>
                <c:pt idx="322">
                  <c:v>12597.404</c:v>
                </c:pt>
                <c:pt idx="323">
                  <c:v>12610.069</c:v>
                </c:pt>
                <c:pt idx="324">
                  <c:v>12629.735000000001</c:v>
                </c:pt>
                <c:pt idx="325">
                  <c:v>12632.486000000001</c:v>
                </c:pt>
                <c:pt idx="326">
                  <c:v>12644.716</c:v>
                </c:pt>
                <c:pt idx="327">
                  <c:v>12663.361999999999</c:v>
                </c:pt>
                <c:pt idx="328">
                  <c:v>12670.269</c:v>
                </c:pt>
                <c:pt idx="329">
                  <c:v>12681.498</c:v>
                </c:pt>
                <c:pt idx="330">
                  <c:v>12699.089</c:v>
                </c:pt>
                <c:pt idx="331">
                  <c:v>12703.974</c:v>
                </c:pt>
                <c:pt idx="332">
                  <c:v>12724.106</c:v>
                </c:pt>
                <c:pt idx="333">
                  <c:v>12742.337</c:v>
                </c:pt>
                <c:pt idx="334">
                  <c:v>12744.731</c:v>
                </c:pt>
                <c:pt idx="335">
                  <c:v>12748.821</c:v>
                </c:pt>
                <c:pt idx="336">
                  <c:v>12782.067999999999</c:v>
                </c:pt>
                <c:pt idx="337">
                  <c:v>12791.697</c:v>
                </c:pt>
                <c:pt idx="338">
                  <c:v>12794.602000000001</c:v>
                </c:pt>
                <c:pt idx="339">
                  <c:v>12805.72</c:v>
                </c:pt>
                <c:pt idx="340">
                  <c:v>12805.828</c:v>
                </c:pt>
                <c:pt idx="341">
                  <c:v>12811.433000000001</c:v>
                </c:pt>
                <c:pt idx="342">
                  <c:v>12815.64</c:v>
                </c:pt>
                <c:pt idx="343">
                  <c:v>12824.475</c:v>
                </c:pt>
                <c:pt idx="344">
                  <c:v>12824.483</c:v>
                </c:pt>
                <c:pt idx="345">
                  <c:v>12825.847</c:v>
                </c:pt>
                <c:pt idx="346">
                  <c:v>12829.852999999999</c:v>
                </c:pt>
                <c:pt idx="347">
                  <c:v>12830.767</c:v>
                </c:pt>
                <c:pt idx="348">
                  <c:v>12834.36</c:v>
                </c:pt>
                <c:pt idx="349">
                  <c:v>12835.061</c:v>
                </c:pt>
                <c:pt idx="350">
                  <c:v>12877.504999999999</c:v>
                </c:pt>
                <c:pt idx="351">
                  <c:v>12888.201999999999</c:v>
                </c:pt>
                <c:pt idx="352">
                  <c:v>12898.733</c:v>
                </c:pt>
                <c:pt idx="353">
                  <c:v>12904.607</c:v>
                </c:pt>
                <c:pt idx="354">
                  <c:v>12920.16</c:v>
                </c:pt>
                <c:pt idx="355">
                  <c:v>12934.394</c:v>
                </c:pt>
                <c:pt idx="356">
                  <c:v>12963.663</c:v>
                </c:pt>
                <c:pt idx="357">
                  <c:v>12982.066999999999</c:v>
                </c:pt>
                <c:pt idx="358">
                  <c:v>12987.885</c:v>
                </c:pt>
                <c:pt idx="359">
                  <c:v>12997.689</c:v>
                </c:pt>
                <c:pt idx="360">
                  <c:v>13005.909</c:v>
                </c:pt>
                <c:pt idx="361">
                  <c:v>13005.915000000001</c:v>
                </c:pt>
                <c:pt idx="362">
                  <c:v>13007.939</c:v>
                </c:pt>
                <c:pt idx="363">
                  <c:v>13018.929</c:v>
                </c:pt>
                <c:pt idx="364">
                  <c:v>13022.605</c:v>
                </c:pt>
                <c:pt idx="365">
                  <c:v>13040.893</c:v>
                </c:pt>
                <c:pt idx="366">
                  <c:v>13044.25</c:v>
                </c:pt>
                <c:pt idx="367">
                  <c:v>13082.248</c:v>
                </c:pt>
                <c:pt idx="368">
                  <c:v>13083.567999999999</c:v>
                </c:pt>
                <c:pt idx="369">
                  <c:v>13086.695</c:v>
                </c:pt>
                <c:pt idx="370">
                  <c:v>13101.290999999999</c:v>
                </c:pt>
                <c:pt idx="371">
                  <c:v>13104.867</c:v>
                </c:pt>
                <c:pt idx="372">
                  <c:v>13111.343000000001</c:v>
                </c:pt>
                <c:pt idx="373">
                  <c:v>13113.223</c:v>
                </c:pt>
                <c:pt idx="374">
                  <c:v>13120.531999999999</c:v>
                </c:pt>
                <c:pt idx="375">
                  <c:v>13125.857</c:v>
                </c:pt>
                <c:pt idx="376">
                  <c:v>13145.491</c:v>
                </c:pt>
                <c:pt idx="377">
                  <c:v>13147.837</c:v>
                </c:pt>
                <c:pt idx="378">
                  <c:v>13164.429</c:v>
                </c:pt>
                <c:pt idx="379">
                  <c:v>13172.237999999999</c:v>
                </c:pt>
                <c:pt idx="380">
                  <c:v>13182.813</c:v>
                </c:pt>
                <c:pt idx="381">
                  <c:v>13184.223</c:v>
                </c:pt>
                <c:pt idx="382">
                  <c:v>13188.819</c:v>
                </c:pt>
                <c:pt idx="383">
                  <c:v>13190.308999999999</c:v>
                </c:pt>
                <c:pt idx="384">
                  <c:v>13200.646000000001</c:v>
                </c:pt>
                <c:pt idx="385">
                  <c:v>13204.743</c:v>
                </c:pt>
                <c:pt idx="386">
                  <c:v>13208.333000000001</c:v>
                </c:pt>
                <c:pt idx="387">
                  <c:v>13210.41</c:v>
                </c:pt>
                <c:pt idx="388">
                  <c:v>13227.101000000001</c:v>
                </c:pt>
                <c:pt idx="389">
                  <c:v>13232.398999999999</c:v>
                </c:pt>
                <c:pt idx="390">
                  <c:v>13259.254999999999</c:v>
                </c:pt>
                <c:pt idx="391">
                  <c:v>13263.112999999999</c:v>
                </c:pt>
                <c:pt idx="392">
                  <c:v>13277.457</c:v>
                </c:pt>
                <c:pt idx="393">
                  <c:v>13282.421</c:v>
                </c:pt>
                <c:pt idx="394">
                  <c:v>13292.214</c:v>
                </c:pt>
                <c:pt idx="395">
                  <c:v>13300.56</c:v>
                </c:pt>
                <c:pt idx="396">
                  <c:v>13313.447</c:v>
                </c:pt>
                <c:pt idx="397">
                  <c:v>13317.982</c:v>
                </c:pt>
                <c:pt idx="398">
                  <c:v>13323.107</c:v>
                </c:pt>
                <c:pt idx="399">
                  <c:v>13325.444</c:v>
                </c:pt>
                <c:pt idx="400">
                  <c:v>13328.33</c:v>
                </c:pt>
                <c:pt idx="401">
                  <c:v>13329.895</c:v>
                </c:pt>
                <c:pt idx="402">
                  <c:v>13330.159</c:v>
                </c:pt>
                <c:pt idx="403">
                  <c:v>13339.596</c:v>
                </c:pt>
                <c:pt idx="404">
                  <c:v>13341.9</c:v>
                </c:pt>
                <c:pt idx="405">
                  <c:v>13343.41</c:v>
                </c:pt>
                <c:pt idx="406">
                  <c:v>13348.252</c:v>
                </c:pt>
                <c:pt idx="407">
                  <c:v>13372.644</c:v>
                </c:pt>
                <c:pt idx="408">
                  <c:v>13376.409</c:v>
                </c:pt>
                <c:pt idx="409">
                  <c:v>13377.253000000001</c:v>
                </c:pt>
                <c:pt idx="410">
                  <c:v>13382.674999999999</c:v>
                </c:pt>
                <c:pt idx="411">
                  <c:v>13386.279</c:v>
                </c:pt>
                <c:pt idx="412">
                  <c:v>13386.439</c:v>
                </c:pt>
                <c:pt idx="413">
                  <c:v>13393.593000000001</c:v>
                </c:pt>
                <c:pt idx="414">
                  <c:v>13394.826999999999</c:v>
                </c:pt>
                <c:pt idx="415">
                  <c:v>13395.173000000001</c:v>
                </c:pt>
                <c:pt idx="416">
                  <c:v>13395.777</c:v>
                </c:pt>
                <c:pt idx="417">
                  <c:v>13398.803</c:v>
                </c:pt>
                <c:pt idx="418">
                  <c:v>13404.644</c:v>
                </c:pt>
                <c:pt idx="419">
                  <c:v>13433.573</c:v>
                </c:pt>
                <c:pt idx="420">
                  <c:v>13436.645</c:v>
                </c:pt>
                <c:pt idx="421">
                  <c:v>13441.851000000001</c:v>
                </c:pt>
                <c:pt idx="422">
                  <c:v>13446.093000000001</c:v>
                </c:pt>
                <c:pt idx="423">
                  <c:v>13446.499</c:v>
                </c:pt>
                <c:pt idx="424">
                  <c:v>13451.144</c:v>
                </c:pt>
                <c:pt idx="425">
                  <c:v>13451.966</c:v>
                </c:pt>
                <c:pt idx="426">
                  <c:v>13453.505999999999</c:v>
                </c:pt>
                <c:pt idx="427">
                  <c:v>13457.795</c:v>
                </c:pt>
                <c:pt idx="428">
                  <c:v>13464.291999999999</c:v>
                </c:pt>
                <c:pt idx="429">
                  <c:v>13464.898999999999</c:v>
                </c:pt>
                <c:pt idx="430">
                  <c:v>13480.195</c:v>
                </c:pt>
                <c:pt idx="431">
                  <c:v>13480.325999999999</c:v>
                </c:pt>
                <c:pt idx="432">
                  <c:v>13481.324000000001</c:v>
                </c:pt>
                <c:pt idx="433">
                  <c:v>13482.441999999999</c:v>
                </c:pt>
                <c:pt idx="434">
                  <c:v>13485.32</c:v>
                </c:pt>
                <c:pt idx="435">
                  <c:v>13488.882</c:v>
                </c:pt>
                <c:pt idx="436">
                  <c:v>13500.161</c:v>
                </c:pt>
                <c:pt idx="437">
                  <c:v>13501.972</c:v>
                </c:pt>
                <c:pt idx="438">
                  <c:v>13510.675999999999</c:v>
                </c:pt>
                <c:pt idx="439">
                  <c:v>13511.562</c:v>
                </c:pt>
                <c:pt idx="440">
                  <c:v>13512.657999999999</c:v>
                </c:pt>
                <c:pt idx="441">
                  <c:v>13522.259</c:v>
                </c:pt>
                <c:pt idx="442">
                  <c:v>13527.37</c:v>
                </c:pt>
                <c:pt idx="443">
                  <c:v>13532.976000000001</c:v>
                </c:pt>
                <c:pt idx="444">
                  <c:v>13533.677</c:v>
                </c:pt>
                <c:pt idx="445">
                  <c:v>13537.263000000001</c:v>
                </c:pt>
                <c:pt idx="446">
                  <c:v>13540.02</c:v>
                </c:pt>
                <c:pt idx="447">
                  <c:v>13543.278</c:v>
                </c:pt>
                <c:pt idx="448">
                  <c:v>13544.449000000001</c:v>
                </c:pt>
                <c:pt idx="449">
                  <c:v>13544.734</c:v>
                </c:pt>
                <c:pt idx="450">
                  <c:v>13552.093999999999</c:v>
                </c:pt>
                <c:pt idx="451">
                  <c:v>13575.35</c:v>
                </c:pt>
                <c:pt idx="452">
                  <c:v>13579.243</c:v>
                </c:pt>
                <c:pt idx="453">
                  <c:v>13581.291999999999</c:v>
                </c:pt>
                <c:pt idx="454">
                  <c:v>13592.626</c:v>
                </c:pt>
                <c:pt idx="455">
                  <c:v>13597.291999999999</c:v>
                </c:pt>
                <c:pt idx="456">
                  <c:v>13598.565000000001</c:v>
                </c:pt>
                <c:pt idx="457">
                  <c:v>13600.001</c:v>
                </c:pt>
                <c:pt idx="458">
                  <c:v>13606.163</c:v>
                </c:pt>
                <c:pt idx="459">
                  <c:v>13607.323</c:v>
                </c:pt>
                <c:pt idx="460">
                  <c:v>13607.352999999999</c:v>
                </c:pt>
                <c:pt idx="461">
                  <c:v>13610.013999999999</c:v>
                </c:pt>
                <c:pt idx="462">
                  <c:v>13620.55</c:v>
                </c:pt>
                <c:pt idx="463">
                  <c:v>13636.172</c:v>
                </c:pt>
                <c:pt idx="464">
                  <c:v>13638.35</c:v>
                </c:pt>
                <c:pt idx="465">
                  <c:v>13653.915999999999</c:v>
                </c:pt>
                <c:pt idx="466">
                  <c:v>13662.46</c:v>
                </c:pt>
                <c:pt idx="467">
                  <c:v>13665.522999999999</c:v>
                </c:pt>
                <c:pt idx="468">
                  <c:v>13680.753000000001</c:v>
                </c:pt>
                <c:pt idx="469">
                  <c:v>13684.563</c:v>
                </c:pt>
                <c:pt idx="470">
                  <c:v>13692.834000000001</c:v>
                </c:pt>
                <c:pt idx="471">
                  <c:v>13709.989</c:v>
                </c:pt>
                <c:pt idx="472">
                  <c:v>13713.004999999999</c:v>
                </c:pt>
                <c:pt idx="473">
                  <c:v>13714.049000000001</c:v>
                </c:pt>
                <c:pt idx="474">
                  <c:v>13717.191000000001</c:v>
                </c:pt>
                <c:pt idx="475">
                  <c:v>13718.061</c:v>
                </c:pt>
                <c:pt idx="476">
                  <c:v>13727.578</c:v>
                </c:pt>
                <c:pt idx="477">
                  <c:v>13742.288</c:v>
                </c:pt>
                <c:pt idx="478">
                  <c:v>13744.003000000001</c:v>
                </c:pt>
                <c:pt idx="479">
                  <c:v>13744.11</c:v>
                </c:pt>
                <c:pt idx="480">
                  <c:v>13763.842000000001</c:v>
                </c:pt>
                <c:pt idx="481">
                  <c:v>13770.76</c:v>
                </c:pt>
                <c:pt idx="482">
                  <c:v>13771.268</c:v>
                </c:pt>
                <c:pt idx="483">
                  <c:v>13789.163</c:v>
                </c:pt>
                <c:pt idx="484">
                  <c:v>13790.116</c:v>
                </c:pt>
                <c:pt idx="485">
                  <c:v>13790.882</c:v>
                </c:pt>
                <c:pt idx="486">
                  <c:v>13793.177</c:v>
                </c:pt>
                <c:pt idx="487">
                  <c:v>13804.867</c:v>
                </c:pt>
                <c:pt idx="488">
                  <c:v>13816.027</c:v>
                </c:pt>
                <c:pt idx="489">
                  <c:v>13818.602000000001</c:v>
                </c:pt>
                <c:pt idx="490">
                  <c:v>13819.703</c:v>
                </c:pt>
                <c:pt idx="491">
                  <c:v>13833.516</c:v>
                </c:pt>
                <c:pt idx="492">
                  <c:v>13834.749</c:v>
                </c:pt>
                <c:pt idx="493">
                  <c:v>13835.694</c:v>
                </c:pt>
                <c:pt idx="494">
                  <c:v>13838.075000000001</c:v>
                </c:pt>
                <c:pt idx="495">
                  <c:v>13838.808000000001</c:v>
                </c:pt>
                <c:pt idx="496">
                  <c:v>13871.127</c:v>
                </c:pt>
                <c:pt idx="497">
                  <c:v>13874.834999999999</c:v>
                </c:pt>
                <c:pt idx="498">
                  <c:v>13905.437</c:v>
                </c:pt>
                <c:pt idx="499">
                  <c:v>13915.754999999999</c:v>
                </c:pt>
                <c:pt idx="500">
                  <c:v>13917.136</c:v>
                </c:pt>
                <c:pt idx="501">
                  <c:v>13927.473</c:v>
                </c:pt>
                <c:pt idx="502">
                  <c:v>13928.281999999999</c:v>
                </c:pt>
                <c:pt idx="503">
                  <c:v>13935.406999999999</c:v>
                </c:pt>
                <c:pt idx="504">
                  <c:v>13944.832</c:v>
                </c:pt>
                <c:pt idx="505">
                  <c:v>13949.394</c:v>
                </c:pt>
                <c:pt idx="506">
                  <c:v>13971.482</c:v>
                </c:pt>
                <c:pt idx="507">
                  <c:v>13975.119000000001</c:v>
                </c:pt>
                <c:pt idx="508">
                  <c:v>13983.606</c:v>
                </c:pt>
                <c:pt idx="509">
                  <c:v>14009.204</c:v>
                </c:pt>
                <c:pt idx="510">
                  <c:v>14011.986000000001</c:v>
                </c:pt>
                <c:pt idx="511">
                  <c:v>14041.137000000001</c:v>
                </c:pt>
                <c:pt idx="512">
                  <c:v>14068.915000000001</c:v>
                </c:pt>
                <c:pt idx="513">
                  <c:v>14102.029</c:v>
                </c:pt>
                <c:pt idx="514">
                  <c:v>14104.397999999999</c:v>
                </c:pt>
                <c:pt idx="515">
                  <c:v>14106.683999999999</c:v>
                </c:pt>
                <c:pt idx="516">
                  <c:v>14111.575999999999</c:v>
                </c:pt>
                <c:pt idx="517">
                  <c:v>14113.544</c:v>
                </c:pt>
                <c:pt idx="518">
                  <c:v>14121.445</c:v>
                </c:pt>
                <c:pt idx="519">
                  <c:v>14158.686</c:v>
                </c:pt>
                <c:pt idx="520">
                  <c:v>14175.526</c:v>
                </c:pt>
                <c:pt idx="521">
                  <c:v>14176.802</c:v>
                </c:pt>
                <c:pt idx="522">
                  <c:v>14187.924999999999</c:v>
                </c:pt>
                <c:pt idx="523">
                  <c:v>14200.424999999999</c:v>
                </c:pt>
                <c:pt idx="524">
                  <c:v>14229.489</c:v>
                </c:pt>
                <c:pt idx="525">
                  <c:v>14229.653</c:v>
                </c:pt>
                <c:pt idx="526">
                  <c:v>14240.563</c:v>
                </c:pt>
                <c:pt idx="527">
                  <c:v>14250.416999999999</c:v>
                </c:pt>
                <c:pt idx="528">
                  <c:v>14266.257</c:v>
                </c:pt>
                <c:pt idx="529">
                  <c:v>14285.103999999999</c:v>
                </c:pt>
                <c:pt idx="530">
                  <c:v>14321.803</c:v>
                </c:pt>
                <c:pt idx="531">
                  <c:v>14321.838</c:v>
                </c:pt>
                <c:pt idx="532">
                  <c:v>14358.088</c:v>
                </c:pt>
                <c:pt idx="533">
                  <c:v>14429.593000000001</c:v>
                </c:pt>
                <c:pt idx="534">
                  <c:v>14453.948</c:v>
                </c:pt>
                <c:pt idx="535">
                  <c:v>14464.554</c:v>
                </c:pt>
                <c:pt idx="536">
                  <c:v>14468.62</c:v>
                </c:pt>
                <c:pt idx="537">
                  <c:v>14474.132</c:v>
                </c:pt>
                <c:pt idx="538">
                  <c:v>14495.945</c:v>
                </c:pt>
                <c:pt idx="539">
                  <c:v>15034.82</c:v>
                </c:pt>
                <c:pt idx="540">
                  <c:v>15584.22696284574</c:v>
                </c:pt>
              </c:numCache>
            </c:numRef>
          </c:xVal>
          <c:yVal>
            <c:numRef>
              <c:f>Extrapolation!$H$12:$H$552</c:f>
              <c:numCache>
                <c:formatCode>General</c:formatCode>
                <c:ptCount val="541"/>
                <c:pt idx="0">
                  <c:v>0.95949654396459794</c:v>
                </c:pt>
                <c:pt idx="1">
                  <c:v>0.94340566245166291</c:v>
                </c:pt>
                <c:pt idx="2">
                  <c:v>0.92731478093872788</c:v>
                </c:pt>
                <c:pt idx="3">
                  <c:v>0.91122389942579285</c:v>
                </c:pt>
                <c:pt idx="4">
                  <c:v>0.89513301791285782</c:v>
                </c:pt>
                <c:pt idx="5">
                  <c:v>0.87904213639992279</c:v>
                </c:pt>
                <c:pt idx="6">
                  <c:v>0.86295125488698776</c:v>
                </c:pt>
                <c:pt idx="7">
                  <c:v>0.84686037337405273</c:v>
                </c:pt>
                <c:pt idx="8">
                  <c:v>0.8307694918611177</c:v>
                </c:pt>
                <c:pt idx="9">
                  <c:v>0.81467861034818267</c:v>
                </c:pt>
                <c:pt idx="10">
                  <c:v>0.79858772883524765</c:v>
                </c:pt>
                <c:pt idx="11">
                  <c:v>0.78249684732231262</c:v>
                </c:pt>
                <c:pt idx="12">
                  <c:v>0.76640596580937759</c:v>
                </c:pt>
                <c:pt idx="13">
                  <c:v>0.75031508429644256</c:v>
                </c:pt>
                <c:pt idx="14">
                  <c:v>0.73422420278350753</c:v>
                </c:pt>
                <c:pt idx="15">
                  <c:v>0.7181333212705725</c:v>
                </c:pt>
                <c:pt idx="16">
                  <c:v>0.71812515821007716</c:v>
                </c:pt>
                <c:pt idx="17">
                  <c:v>0.71811699514958183</c:v>
                </c:pt>
                <c:pt idx="18">
                  <c:v>0.71810883208908649</c:v>
                </c:pt>
                <c:pt idx="19">
                  <c:v>0.71806430120128362</c:v>
                </c:pt>
                <c:pt idx="20">
                  <c:v>0.71801977031348074</c:v>
                </c:pt>
                <c:pt idx="21">
                  <c:v>0.71801160725298541</c:v>
                </c:pt>
                <c:pt idx="22">
                  <c:v>0.71800344419249007</c:v>
                </c:pt>
                <c:pt idx="23">
                  <c:v>0.7179589133046872</c:v>
                </c:pt>
                <c:pt idx="24">
                  <c:v>0.71795075024419186</c:v>
                </c:pt>
                <c:pt idx="25">
                  <c:v>0.71790621935638899</c:v>
                </c:pt>
                <c:pt idx="26">
                  <c:v>0.71789805629589365</c:v>
                </c:pt>
                <c:pt idx="27">
                  <c:v>0.71788989323539831</c:v>
                </c:pt>
                <c:pt idx="28">
                  <c:v>0.71788173017490298</c:v>
                </c:pt>
                <c:pt idx="29">
                  <c:v>0.71787356711440764</c:v>
                </c:pt>
                <c:pt idx="30">
                  <c:v>0.71782903622660477</c:v>
                </c:pt>
                <c:pt idx="31">
                  <c:v>0.71778450533880189</c:v>
                </c:pt>
                <c:pt idx="32">
                  <c:v>0.71773997445099902</c:v>
                </c:pt>
                <c:pt idx="33">
                  <c:v>0.71773181139050368</c:v>
                </c:pt>
                <c:pt idx="34">
                  <c:v>0.71772364833000835</c:v>
                </c:pt>
                <c:pt idx="35">
                  <c:v>0.71767911744220547</c:v>
                </c:pt>
                <c:pt idx="36">
                  <c:v>0.71767095438171014</c:v>
                </c:pt>
                <c:pt idx="37">
                  <c:v>0.7176627913212148</c:v>
                </c:pt>
                <c:pt idx="38">
                  <c:v>0.71765462826071946</c:v>
                </c:pt>
                <c:pt idx="39">
                  <c:v>0.71761009737291659</c:v>
                </c:pt>
                <c:pt idx="40">
                  <c:v>0.7008913909324046</c:v>
                </c:pt>
                <c:pt idx="41">
                  <c:v>0.70088322787190926</c:v>
                </c:pt>
                <c:pt idx="42">
                  <c:v>0.70083869698410639</c:v>
                </c:pt>
                <c:pt idx="43">
                  <c:v>0.70083053392361105</c:v>
                </c:pt>
                <c:pt idx="44">
                  <c:v>0.70082237086311572</c:v>
                </c:pt>
                <c:pt idx="45">
                  <c:v>0.70081420780262038</c:v>
                </c:pt>
                <c:pt idx="46">
                  <c:v>0.70067621375939471</c:v>
                </c:pt>
                <c:pt idx="47">
                  <c:v>0.70063168287159183</c:v>
                </c:pt>
                <c:pt idx="48">
                  <c:v>0.70058715198378896</c:v>
                </c:pt>
                <c:pt idx="49">
                  <c:v>0.70044915794056328</c:v>
                </c:pt>
                <c:pt idx="50">
                  <c:v>0.70044099488006795</c:v>
                </c:pt>
                <c:pt idx="51">
                  <c:v>0.70043283181957261</c:v>
                </c:pt>
                <c:pt idx="52">
                  <c:v>0.70038830093176974</c:v>
                </c:pt>
                <c:pt idx="53">
                  <c:v>0.7003801378712744</c:v>
                </c:pt>
                <c:pt idx="54">
                  <c:v>0.70033560698347153</c:v>
                </c:pt>
                <c:pt idx="55">
                  <c:v>0.70032744392297619</c:v>
                </c:pt>
                <c:pt idx="56">
                  <c:v>0.70028291303517332</c:v>
                </c:pt>
                <c:pt idx="57">
                  <c:v>0.70027474997467798</c:v>
                </c:pt>
                <c:pt idx="58">
                  <c:v>0.70023021908687511</c:v>
                </c:pt>
                <c:pt idx="59">
                  <c:v>0.68351151264636312</c:v>
                </c:pt>
                <c:pt idx="60">
                  <c:v>0.68350334958586778</c:v>
                </c:pt>
                <c:pt idx="61">
                  <c:v>0.68349518652537244</c:v>
                </c:pt>
                <c:pt idx="62">
                  <c:v>0.68348702346487711</c:v>
                </c:pt>
                <c:pt idx="63">
                  <c:v>0.68347886040438177</c:v>
                </c:pt>
                <c:pt idx="64">
                  <c:v>0.6833408663611561</c:v>
                </c:pt>
                <c:pt idx="65">
                  <c:v>0.66662215992064411</c:v>
                </c:pt>
                <c:pt idx="66">
                  <c:v>0.66648416587741843</c:v>
                </c:pt>
                <c:pt idx="67">
                  <c:v>0.6664760028169231</c:v>
                </c:pt>
                <c:pt idx="68">
                  <c:v>0.66643147192912022</c:v>
                </c:pt>
                <c:pt idx="69">
                  <c:v>0.66642330886862489</c:v>
                </c:pt>
                <c:pt idx="70">
                  <c:v>0.66637877798082201</c:v>
                </c:pt>
                <c:pt idx="71">
                  <c:v>0.66633424709301914</c:v>
                </c:pt>
                <c:pt idx="72">
                  <c:v>0.66628971620521626</c:v>
                </c:pt>
                <c:pt idx="73">
                  <c:v>0.66615172216199059</c:v>
                </c:pt>
                <c:pt idx="74">
                  <c:v>0.66614355910149525</c:v>
                </c:pt>
                <c:pt idx="75">
                  <c:v>0.64942485266098327</c:v>
                </c:pt>
                <c:pt idx="76">
                  <c:v>0.64941668960048793</c:v>
                </c:pt>
                <c:pt idx="77">
                  <c:v>0.64940852653999259</c:v>
                </c:pt>
                <c:pt idx="78">
                  <c:v>0.64940036347949726</c:v>
                </c:pt>
                <c:pt idx="79">
                  <c:v>0.64935583259169438</c:v>
                </c:pt>
                <c:pt idx="80">
                  <c:v>0.64934766953119905</c:v>
                </c:pt>
                <c:pt idx="81">
                  <c:v>0.64930313864339617</c:v>
                </c:pt>
                <c:pt idx="82">
                  <c:v>0.6492586077555933</c:v>
                </c:pt>
                <c:pt idx="83">
                  <c:v>0.63253990131508131</c:v>
                </c:pt>
                <c:pt idx="84">
                  <c:v>0.63249537042727844</c:v>
                </c:pt>
                <c:pt idx="85">
                  <c:v>0.6324872073667831</c:v>
                </c:pt>
                <c:pt idx="86">
                  <c:v>0.63244267647898023</c:v>
                </c:pt>
                <c:pt idx="87">
                  <c:v>0.63239814559117735</c:v>
                </c:pt>
                <c:pt idx="88">
                  <c:v>0.63226015154795168</c:v>
                </c:pt>
                <c:pt idx="89">
                  <c:v>0.63225198848745634</c:v>
                </c:pt>
                <c:pt idx="90">
                  <c:v>0.63211399444423066</c:v>
                </c:pt>
                <c:pt idx="91">
                  <c:v>0.63206946355642779</c:v>
                </c:pt>
                <c:pt idx="92">
                  <c:v>0.63206130049593245</c:v>
                </c:pt>
                <c:pt idx="93">
                  <c:v>0.63201676960812958</c:v>
                </c:pt>
                <c:pt idx="94">
                  <c:v>0.63197223872032671</c:v>
                </c:pt>
                <c:pt idx="95">
                  <c:v>0.63196407565983137</c:v>
                </c:pt>
                <c:pt idx="96">
                  <c:v>0.63195591259933603</c:v>
                </c:pt>
                <c:pt idx="97">
                  <c:v>0.6319477495388407</c:v>
                </c:pt>
                <c:pt idx="98">
                  <c:v>0.63190321865103782</c:v>
                </c:pt>
                <c:pt idx="99">
                  <c:v>0.63189505559054249</c:v>
                </c:pt>
                <c:pt idx="100">
                  <c:v>0.63185052470273961</c:v>
                </c:pt>
                <c:pt idx="101">
                  <c:v>0.63184236164224428</c:v>
                </c:pt>
                <c:pt idx="102">
                  <c:v>0.6317978307544414</c:v>
                </c:pt>
                <c:pt idx="103">
                  <c:v>0.63165983671121573</c:v>
                </c:pt>
                <c:pt idx="104">
                  <c:v>0.63165167365072039</c:v>
                </c:pt>
                <c:pt idx="105">
                  <c:v>0.63160714276291752</c:v>
                </c:pt>
                <c:pt idx="106">
                  <c:v>0.63159897970242218</c:v>
                </c:pt>
                <c:pt idx="107">
                  <c:v>0.63159081664192684</c:v>
                </c:pt>
                <c:pt idx="108">
                  <c:v>0.63158265358143151</c:v>
                </c:pt>
                <c:pt idx="109">
                  <c:v>0.61486394714091952</c:v>
                </c:pt>
                <c:pt idx="110">
                  <c:v>0.61472595309769384</c:v>
                </c:pt>
                <c:pt idx="111">
                  <c:v>0.61468142220989097</c:v>
                </c:pt>
                <c:pt idx="112">
                  <c:v>0.61467325914939563</c:v>
                </c:pt>
                <c:pt idx="113">
                  <c:v>0.6146650960889003</c:v>
                </c:pt>
                <c:pt idx="114">
                  <c:v>0.61452710204567462</c:v>
                </c:pt>
                <c:pt idx="115">
                  <c:v>0.61448257115787175</c:v>
                </c:pt>
                <c:pt idx="116">
                  <c:v>0.61443804027006887</c:v>
                </c:pt>
                <c:pt idx="117">
                  <c:v>0.61442987720957354</c:v>
                </c:pt>
                <c:pt idx="118">
                  <c:v>0.61429188316634786</c:v>
                </c:pt>
                <c:pt idx="119">
                  <c:v>0.61415388912312219</c:v>
                </c:pt>
                <c:pt idx="120">
                  <c:v>0.61414572606262685</c:v>
                </c:pt>
                <c:pt idx="121">
                  <c:v>0.61400773201940118</c:v>
                </c:pt>
                <c:pt idx="122">
                  <c:v>0.61399956895890584</c:v>
                </c:pt>
                <c:pt idx="123">
                  <c:v>0.61386157491568016</c:v>
                </c:pt>
                <c:pt idx="124">
                  <c:v>0.61385341185518483</c:v>
                </c:pt>
                <c:pt idx="125">
                  <c:v>0.61371541781195915</c:v>
                </c:pt>
                <c:pt idx="126">
                  <c:v>0.61370725475146382</c:v>
                </c:pt>
                <c:pt idx="127">
                  <c:v>0.61369909169096848</c:v>
                </c:pt>
                <c:pt idx="128">
                  <c:v>0.61365456080316561</c:v>
                </c:pt>
                <c:pt idx="129">
                  <c:v>0.61364639774267027</c:v>
                </c:pt>
                <c:pt idx="130">
                  <c:v>0.61350840369944459</c:v>
                </c:pt>
                <c:pt idx="131">
                  <c:v>0.61350024063894926</c:v>
                </c:pt>
                <c:pt idx="132">
                  <c:v>0.61336224659572358</c:v>
                </c:pt>
                <c:pt idx="133">
                  <c:v>0.61331771570792071</c:v>
                </c:pt>
                <c:pt idx="134">
                  <c:v>0.61327318482011783</c:v>
                </c:pt>
                <c:pt idx="135">
                  <c:v>0.61322865393231496</c:v>
                </c:pt>
                <c:pt idx="136">
                  <c:v>0.61322049087181962</c:v>
                </c:pt>
                <c:pt idx="137">
                  <c:v>0.61308249682859395</c:v>
                </c:pt>
                <c:pt idx="138">
                  <c:v>0.61307433376809861</c:v>
                </c:pt>
                <c:pt idx="139">
                  <c:v>0.61293633972487294</c:v>
                </c:pt>
                <c:pt idx="140">
                  <c:v>0.6129281766643776</c:v>
                </c:pt>
                <c:pt idx="141">
                  <c:v>0.61288364577657473</c:v>
                </c:pt>
                <c:pt idx="142">
                  <c:v>0.61283911488877185</c:v>
                </c:pt>
                <c:pt idx="143">
                  <c:v>0.61279458400096898</c:v>
                </c:pt>
                <c:pt idx="144">
                  <c:v>0.6126565899577433</c:v>
                </c:pt>
                <c:pt idx="145">
                  <c:v>0.61264842689724797</c:v>
                </c:pt>
                <c:pt idx="146">
                  <c:v>0.59592972045673598</c:v>
                </c:pt>
                <c:pt idx="147">
                  <c:v>0.5958851895689331</c:v>
                </c:pt>
                <c:pt idx="148">
                  <c:v>0.59587702650843777</c:v>
                </c:pt>
                <c:pt idx="149">
                  <c:v>0.59573903246521209</c:v>
                </c:pt>
                <c:pt idx="150">
                  <c:v>0.59573086940471676</c:v>
                </c:pt>
                <c:pt idx="151">
                  <c:v>0.59559287536149108</c:v>
                </c:pt>
                <c:pt idx="152">
                  <c:v>0.59545488131826541</c:v>
                </c:pt>
                <c:pt idx="153">
                  <c:v>0.59544671825777007</c:v>
                </c:pt>
                <c:pt idx="154">
                  <c:v>0.5954021873699672</c:v>
                </c:pt>
                <c:pt idx="155">
                  <c:v>0.59526419332674152</c:v>
                </c:pt>
                <c:pt idx="156">
                  <c:v>0.59521966243893865</c:v>
                </c:pt>
                <c:pt idx="157">
                  <c:v>0.57850095599842666</c:v>
                </c:pt>
                <c:pt idx="158">
                  <c:v>0.57849279293793132</c:v>
                </c:pt>
                <c:pt idx="159">
                  <c:v>0.56177408649741933</c:v>
                </c:pt>
                <c:pt idx="160">
                  <c:v>0.56172955560961646</c:v>
                </c:pt>
                <c:pt idx="161">
                  <c:v>0.56159156156639078</c:v>
                </c:pt>
                <c:pt idx="162">
                  <c:v>0.56145356752316511</c:v>
                </c:pt>
                <c:pt idx="163">
                  <c:v>0.56144540446266977</c:v>
                </c:pt>
                <c:pt idx="164">
                  <c:v>0.56143724140217444</c:v>
                </c:pt>
                <c:pt idx="165">
                  <c:v>0.5614290783416791</c:v>
                </c:pt>
                <c:pt idx="166">
                  <c:v>0.56138454745387623</c:v>
                </c:pt>
                <c:pt idx="167">
                  <c:v>0.56134001656607335</c:v>
                </c:pt>
                <c:pt idx="168">
                  <c:v>0.56120202252284768</c:v>
                </c:pt>
                <c:pt idx="169">
                  <c:v>0.56119385946235234</c:v>
                </c:pt>
                <c:pt idx="170">
                  <c:v>0.56105586541912666</c:v>
                </c:pt>
                <c:pt idx="171">
                  <c:v>0.56101133453132379</c:v>
                </c:pt>
                <c:pt idx="172">
                  <c:v>0.56087334048809812</c:v>
                </c:pt>
                <c:pt idx="173">
                  <c:v>0.56082880960029524</c:v>
                </c:pt>
                <c:pt idx="174">
                  <c:v>0.56069081555706957</c:v>
                </c:pt>
                <c:pt idx="175">
                  <c:v>0.56055282151384389</c:v>
                </c:pt>
                <c:pt idx="176">
                  <c:v>0.56041482747061822</c:v>
                </c:pt>
                <c:pt idx="177">
                  <c:v>0.56027683342739254</c:v>
                </c:pt>
                <c:pt idx="178">
                  <c:v>0.5602686703668972</c:v>
                </c:pt>
                <c:pt idx="179">
                  <c:v>0.56013067632367153</c:v>
                </c:pt>
                <c:pt idx="180">
                  <c:v>0.56012251326317619</c:v>
                </c:pt>
                <c:pt idx="181">
                  <c:v>0.56011435020268086</c:v>
                </c:pt>
                <c:pt idx="182">
                  <c:v>0.56006981931487798</c:v>
                </c:pt>
                <c:pt idx="183">
                  <c:v>0.55952770324430789</c:v>
                </c:pt>
                <c:pt idx="184">
                  <c:v>0.55951954018381256</c:v>
                </c:pt>
                <c:pt idx="185">
                  <c:v>0.55947500929600968</c:v>
                </c:pt>
                <c:pt idx="186">
                  <c:v>0.55933701525278401</c:v>
                </c:pt>
                <c:pt idx="187">
                  <c:v>0.55932885219228867</c:v>
                </c:pt>
                <c:pt idx="188">
                  <c:v>0.55932068913179334</c:v>
                </c:pt>
                <c:pt idx="189">
                  <c:v>0.55877857306122325</c:v>
                </c:pt>
                <c:pt idx="190">
                  <c:v>0.55873404217342038</c:v>
                </c:pt>
                <c:pt idx="191">
                  <c:v>0.55872587911292504</c:v>
                </c:pt>
                <c:pt idx="192">
                  <c:v>0.5587177160524297</c:v>
                </c:pt>
                <c:pt idx="193">
                  <c:v>0.55857972200920403</c:v>
                </c:pt>
                <c:pt idx="194">
                  <c:v>0.55853519112140115</c:v>
                </c:pt>
                <c:pt idx="195">
                  <c:v>0.55849066023359828</c:v>
                </c:pt>
                <c:pt idx="196">
                  <c:v>0.55848249717310294</c:v>
                </c:pt>
                <c:pt idx="197">
                  <c:v>0.54176379073259096</c:v>
                </c:pt>
                <c:pt idx="198">
                  <c:v>0.54171925984478808</c:v>
                </c:pt>
                <c:pt idx="199">
                  <c:v>0.54158126580156241</c:v>
                </c:pt>
                <c:pt idx="200">
                  <c:v>0.54144327175833673</c:v>
                </c:pt>
                <c:pt idx="201">
                  <c:v>0.52472456531782474</c:v>
                </c:pt>
                <c:pt idx="202">
                  <c:v>0.52468003443002187</c:v>
                </c:pt>
                <c:pt idx="203">
                  <c:v>0.52463550354221899</c:v>
                </c:pt>
                <c:pt idx="204">
                  <c:v>0.52449750949899332</c:v>
                </c:pt>
                <c:pt idx="205">
                  <c:v>0.52445297861119045</c:v>
                </c:pt>
                <c:pt idx="206">
                  <c:v>0.52444481555069511</c:v>
                </c:pt>
                <c:pt idx="207">
                  <c:v>0.52390269948012502</c:v>
                </c:pt>
                <c:pt idx="208">
                  <c:v>0.52376470543689935</c:v>
                </c:pt>
                <c:pt idx="209">
                  <c:v>0.52362671139367367</c:v>
                </c:pt>
                <c:pt idx="210">
                  <c:v>0.523488717350448</c:v>
                </c:pt>
                <c:pt idx="211">
                  <c:v>0.52344418646264512</c:v>
                </c:pt>
                <c:pt idx="212">
                  <c:v>0.52330619241941945</c:v>
                </c:pt>
                <c:pt idx="213">
                  <c:v>0.52329802935892411</c:v>
                </c:pt>
                <c:pt idx="214">
                  <c:v>0.52325349847112124</c:v>
                </c:pt>
                <c:pt idx="215">
                  <c:v>0.52311550442789556</c:v>
                </c:pt>
                <c:pt idx="216">
                  <c:v>0.52307097354009269</c:v>
                </c:pt>
                <c:pt idx="217">
                  <c:v>0.52293297949686701</c:v>
                </c:pt>
                <c:pt idx="218">
                  <c:v>0.52279498545364134</c:v>
                </c:pt>
                <c:pt idx="219">
                  <c:v>0.52265699141041566</c:v>
                </c:pt>
                <c:pt idx="220">
                  <c:v>0.52251899736718999</c:v>
                </c:pt>
                <c:pt idx="221">
                  <c:v>0.52247446647938711</c:v>
                </c:pt>
                <c:pt idx="222">
                  <c:v>0.52246630341889178</c:v>
                </c:pt>
                <c:pt idx="223">
                  <c:v>0.52245814035839644</c:v>
                </c:pt>
                <c:pt idx="224">
                  <c:v>0.52241360947059357</c:v>
                </c:pt>
                <c:pt idx="225">
                  <c:v>0.52236907858279069</c:v>
                </c:pt>
                <c:pt idx="226">
                  <c:v>0.5218269625122206</c:v>
                </c:pt>
                <c:pt idx="227">
                  <c:v>0.52181879945172527</c:v>
                </c:pt>
                <c:pt idx="228">
                  <c:v>0.52168080540849959</c:v>
                </c:pt>
                <c:pt idx="229">
                  <c:v>0.52154281136527392</c:v>
                </c:pt>
                <c:pt idx="230">
                  <c:v>0.52140481732204824</c:v>
                </c:pt>
                <c:pt idx="231">
                  <c:v>0.52139665426155291</c:v>
                </c:pt>
                <c:pt idx="232">
                  <c:v>0.52125866021832723</c:v>
                </c:pt>
                <c:pt idx="233">
                  <c:v>0.52112066617510155</c:v>
                </c:pt>
                <c:pt idx="234">
                  <c:v>0.52057855010453147</c:v>
                </c:pt>
                <c:pt idx="235">
                  <c:v>0.52044055606130579</c:v>
                </c:pt>
                <c:pt idx="236">
                  <c:v>0.5037218496207938</c:v>
                </c:pt>
                <c:pt idx="237">
                  <c:v>0.50358385557756813</c:v>
                </c:pt>
                <c:pt idx="238">
                  <c:v>0.50353932468976526</c:v>
                </c:pt>
                <c:pt idx="239">
                  <c:v>0.48682061824925327</c:v>
                </c:pt>
                <c:pt idx="240">
                  <c:v>0.48668262420602759</c:v>
                </c:pt>
                <c:pt idx="241">
                  <c:v>0.48663809331822472</c:v>
                </c:pt>
                <c:pt idx="242">
                  <c:v>0.48650009927499904</c:v>
                </c:pt>
                <c:pt idx="243">
                  <c:v>0.48636210523177337</c:v>
                </c:pt>
                <c:pt idx="244">
                  <c:v>0.48581998916120328</c:v>
                </c:pt>
                <c:pt idx="245">
                  <c:v>0.48577545827340041</c:v>
                </c:pt>
                <c:pt idx="246">
                  <c:v>0.48573092738559753</c:v>
                </c:pt>
                <c:pt idx="247">
                  <c:v>0.48572276432510214</c:v>
                </c:pt>
                <c:pt idx="248">
                  <c:v>0.48567823343729927</c:v>
                </c:pt>
                <c:pt idx="249">
                  <c:v>0.48554023939407359</c:v>
                </c:pt>
                <c:pt idx="250">
                  <c:v>0.48549570850627072</c:v>
                </c:pt>
                <c:pt idx="251">
                  <c:v>0.48535771446304504</c:v>
                </c:pt>
                <c:pt idx="252">
                  <c:v>0.46863900802253311</c:v>
                </c:pt>
                <c:pt idx="253">
                  <c:v>0.46809689195196302</c:v>
                </c:pt>
                <c:pt idx="254">
                  <c:v>0.46755477588139294</c:v>
                </c:pt>
                <c:pt idx="255">
                  <c:v>0.46751024499359006</c:v>
                </c:pt>
                <c:pt idx="256">
                  <c:v>0.46746571410578719</c:v>
                </c:pt>
                <c:pt idx="257">
                  <c:v>0.46732772006256151</c:v>
                </c:pt>
                <c:pt idx="258">
                  <c:v>0.46728318917475864</c:v>
                </c:pt>
                <c:pt idx="259">
                  <c:v>0.46714519513153296</c:v>
                </c:pt>
                <c:pt idx="260">
                  <c:v>0.46660307906096288</c:v>
                </c:pt>
                <c:pt idx="261">
                  <c:v>0.46655854817316</c:v>
                </c:pt>
                <c:pt idx="262">
                  <c:v>0.46642055412993433</c:v>
                </c:pt>
                <c:pt idx="263">
                  <c:v>0.46587843805936424</c:v>
                </c:pt>
                <c:pt idx="264">
                  <c:v>0.46574044401613857</c:v>
                </c:pt>
                <c:pt idx="265">
                  <c:v>0.46560244997291289</c:v>
                </c:pt>
                <c:pt idx="266">
                  <c:v>0.46546445592968722</c:v>
                </c:pt>
                <c:pt idx="267">
                  <c:v>0.46492233985911713</c:v>
                </c:pt>
                <c:pt idx="268">
                  <c:v>0.46478434581589145</c:v>
                </c:pt>
                <c:pt idx="269">
                  <c:v>0.46424222974532137</c:v>
                </c:pt>
                <c:pt idx="270">
                  <c:v>0.46370011367475128</c:v>
                </c:pt>
                <c:pt idx="271">
                  <c:v>0.46365558278694841</c:v>
                </c:pt>
                <c:pt idx="272">
                  <c:v>0.46311346671637832</c:v>
                </c:pt>
                <c:pt idx="273">
                  <c:v>0.46310530365588293</c:v>
                </c:pt>
                <c:pt idx="274">
                  <c:v>0.46256318758531284</c:v>
                </c:pt>
                <c:pt idx="275">
                  <c:v>0.46242519354208717</c:v>
                </c:pt>
                <c:pt idx="276">
                  <c:v>0.46188307747151708</c:v>
                </c:pt>
                <c:pt idx="277">
                  <c:v>0.4617450834282914</c:v>
                </c:pt>
                <c:pt idx="278">
                  <c:v>0.46170055254048853</c:v>
                </c:pt>
                <c:pt idx="279">
                  <c:v>0.46156255849726285</c:v>
                </c:pt>
                <c:pt idx="280">
                  <c:v>0.46142456445403718</c:v>
                </c:pt>
                <c:pt idx="281">
                  <c:v>0.4612865704108115</c:v>
                </c:pt>
                <c:pt idx="282">
                  <c:v>0.46124203952300863</c:v>
                </c:pt>
                <c:pt idx="283">
                  <c:v>0.46119750863520576</c:v>
                </c:pt>
                <c:pt idx="284">
                  <c:v>0.44447880219469382</c:v>
                </c:pt>
                <c:pt idx="285">
                  <c:v>0.44443427130689095</c:v>
                </c:pt>
                <c:pt idx="286">
                  <c:v>0.44429627726366527</c:v>
                </c:pt>
                <c:pt idx="287">
                  <c:v>0.4441582832204396</c:v>
                </c:pt>
                <c:pt idx="288">
                  <c:v>0.44361616714986951</c:v>
                </c:pt>
                <c:pt idx="289">
                  <c:v>0.44360800408937412</c:v>
                </c:pt>
                <c:pt idx="290">
                  <c:v>0.44306588801880403</c:v>
                </c:pt>
                <c:pt idx="291">
                  <c:v>0.44252377194823395</c:v>
                </c:pt>
                <c:pt idx="292">
                  <c:v>0.44238577790500827</c:v>
                </c:pt>
                <c:pt idx="293">
                  <c:v>0.4422477838617826</c:v>
                </c:pt>
                <c:pt idx="294">
                  <c:v>0.44210978981855692</c:v>
                </c:pt>
                <c:pt idx="295">
                  <c:v>0.44210162675806153</c:v>
                </c:pt>
                <c:pt idx="296">
                  <c:v>0.44155951068749144</c:v>
                </c:pt>
                <c:pt idx="297">
                  <c:v>0.44101739461692135</c:v>
                </c:pt>
                <c:pt idx="298">
                  <c:v>0.44097286372911848</c:v>
                </c:pt>
                <c:pt idx="299">
                  <c:v>0.44083486968589281</c:v>
                </c:pt>
                <c:pt idx="300">
                  <c:v>0.44029275361532272</c:v>
                </c:pt>
                <c:pt idx="301">
                  <c:v>0.43975063754475263</c:v>
                </c:pt>
                <c:pt idx="302">
                  <c:v>0.43974247448425724</c:v>
                </c:pt>
                <c:pt idx="303">
                  <c:v>0.43960448044103156</c:v>
                </c:pt>
                <c:pt idx="304">
                  <c:v>0.43955994955322869</c:v>
                </c:pt>
                <c:pt idx="305">
                  <c:v>0.43942195551000302</c:v>
                </c:pt>
                <c:pt idx="306">
                  <c:v>0.43928396146677734</c:v>
                </c:pt>
                <c:pt idx="307">
                  <c:v>0.43914596742355166</c:v>
                </c:pt>
                <c:pt idx="308">
                  <c:v>0.43910143653574879</c:v>
                </c:pt>
                <c:pt idx="309">
                  <c:v>0.43905690564794592</c:v>
                </c:pt>
                <c:pt idx="310">
                  <c:v>0.43851478957737583</c:v>
                </c:pt>
                <c:pt idx="311">
                  <c:v>0.43730744654570486</c:v>
                </c:pt>
                <c:pt idx="312">
                  <c:v>0.43676533047513477</c:v>
                </c:pt>
                <c:pt idx="313">
                  <c:v>0.43622321440456469</c:v>
                </c:pt>
                <c:pt idx="314">
                  <c:v>0.43272642377161341</c:v>
                </c:pt>
                <c:pt idx="315">
                  <c:v>0.43258842972838774</c:v>
                </c:pt>
                <c:pt idx="316">
                  <c:v>0.43204631365781765</c:v>
                </c:pt>
                <c:pt idx="317">
                  <c:v>0.43200178277001478</c:v>
                </c:pt>
                <c:pt idx="318">
                  <c:v>0.4318637887267891</c:v>
                </c:pt>
                <c:pt idx="319">
                  <c:v>0.43132167265621901</c:v>
                </c:pt>
                <c:pt idx="320">
                  <c:v>0.43011432962454804</c:v>
                </c:pt>
                <c:pt idx="321">
                  <c:v>0.42957221355397796</c:v>
                </c:pt>
                <c:pt idx="322">
                  <c:v>0.42943421951075228</c:v>
                </c:pt>
                <c:pt idx="323">
                  <c:v>0.42889210344018219</c:v>
                </c:pt>
                <c:pt idx="324">
                  <c:v>0.42834998736961211</c:v>
                </c:pt>
                <c:pt idx="325">
                  <c:v>0.42780787129904202</c:v>
                </c:pt>
                <c:pt idx="326">
                  <c:v>0.42431108066609075</c:v>
                </c:pt>
                <c:pt idx="327">
                  <c:v>0.42376896459552066</c:v>
                </c:pt>
                <c:pt idx="328">
                  <c:v>0.42322684852495057</c:v>
                </c:pt>
                <c:pt idx="329">
                  <c:v>0.42268473245438049</c:v>
                </c:pt>
                <c:pt idx="330">
                  <c:v>0.4221426163838104</c:v>
                </c:pt>
                <c:pt idx="331">
                  <c:v>0.42160050031324031</c:v>
                </c:pt>
                <c:pt idx="332">
                  <c:v>0.42105838424267023</c:v>
                </c:pt>
                <c:pt idx="333">
                  <c:v>0.42105022118217483</c:v>
                </c:pt>
                <c:pt idx="334">
                  <c:v>0.42100569029437196</c:v>
                </c:pt>
                <c:pt idx="335">
                  <c:v>0.42046357422380187</c:v>
                </c:pt>
                <c:pt idx="336">
                  <c:v>0.4169667835908506</c:v>
                </c:pt>
                <c:pt idx="337">
                  <c:v>0.41682878954762492</c:v>
                </c:pt>
                <c:pt idx="338">
                  <c:v>0.41562144651595395</c:v>
                </c:pt>
                <c:pt idx="339">
                  <c:v>0.41507933044538387</c:v>
                </c:pt>
                <c:pt idx="340">
                  <c:v>0.41453721437481378</c:v>
                </c:pt>
                <c:pt idx="341">
                  <c:v>0.4143992203315881</c:v>
                </c:pt>
                <c:pt idx="342">
                  <c:v>0.41319187729991713</c:v>
                </c:pt>
                <c:pt idx="343">
                  <c:v>0.41264976122934705</c:v>
                </c:pt>
                <c:pt idx="344">
                  <c:v>0.40915297059639577</c:v>
                </c:pt>
                <c:pt idx="345">
                  <c:v>0.40861085452582568</c:v>
                </c:pt>
                <c:pt idx="346">
                  <c:v>0.40847286048260001</c:v>
                </c:pt>
                <c:pt idx="347">
                  <c:v>0.40842832959479713</c:v>
                </c:pt>
                <c:pt idx="348">
                  <c:v>0.40788621352422705</c:v>
                </c:pt>
                <c:pt idx="349">
                  <c:v>0.40784168263642417</c:v>
                </c:pt>
                <c:pt idx="350">
                  <c:v>0.40729956656585409</c:v>
                </c:pt>
                <c:pt idx="351">
                  <c:v>0.40380277593290281</c:v>
                </c:pt>
                <c:pt idx="352">
                  <c:v>0.40326065986233273</c:v>
                </c:pt>
                <c:pt idx="353">
                  <c:v>0.40312266581910705</c:v>
                </c:pt>
                <c:pt idx="354">
                  <c:v>0.39962587518615578</c:v>
                </c:pt>
                <c:pt idx="355">
                  <c:v>0.39841853215448481</c:v>
                </c:pt>
                <c:pt idx="356">
                  <c:v>0.39787641608391472</c:v>
                </c:pt>
                <c:pt idx="357">
                  <c:v>0.39437962545096344</c:v>
                </c:pt>
                <c:pt idx="358">
                  <c:v>0.39424163140773777</c:v>
                </c:pt>
                <c:pt idx="359">
                  <c:v>0.39198470105250105</c:v>
                </c:pt>
                <c:pt idx="360">
                  <c:v>0.38848791041954978</c:v>
                </c:pt>
                <c:pt idx="361">
                  <c:v>0.38794579434897969</c:v>
                </c:pt>
                <c:pt idx="362">
                  <c:v>0.38444900371602841</c:v>
                </c:pt>
                <c:pt idx="363">
                  <c:v>0.38095221308307714</c:v>
                </c:pt>
                <c:pt idx="364">
                  <c:v>0.37974487005140617</c:v>
                </c:pt>
                <c:pt idx="365">
                  <c:v>0.3785375270197352</c:v>
                </c:pt>
                <c:pt idx="366">
                  <c:v>0.37504073638678392</c:v>
                </c:pt>
                <c:pt idx="367">
                  <c:v>0.37154394575383265</c:v>
                </c:pt>
                <c:pt idx="368">
                  <c:v>0.37100182968326256</c:v>
                </c:pt>
                <c:pt idx="369">
                  <c:v>0.36979448665159159</c:v>
                </c:pt>
                <c:pt idx="370">
                  <c:v>0.36925237058102151</c:v>
                </c:pt>
                <c:pt idx="371">
                  <c:v>0.36871025451045142</c:v>
                </c:pt>
                <c:pt idx="372">
                  <c:v>0.36521346387750014</c:v>
                </c:pt>
                <c:pt idx="373">
                  <c:v>0.36295653352226342</c:v>
                </c:pt>
                <c:pt idx="374">
                  <c:v>0.35945974288931215</c:v>
                </c:pt>
                <c:pt idx="375">
                  <c:v>0.35720281253407543</c:v>
                </c:pt>
                <c:pt idx="376">
                  <c:v>0.35370602190112416</c:v>
                </c:pt>
                <c:pt idx="377">
                  <c:v>0.35020923126817288</c:v>
                </c:pt>
                <c:pt idx="378">
                  <c:v>0.34671244063522161</c:v>
                </c:pt>
                <c:pt idx="379">
                  <c:v>0.34321565000227033</c:v>
                </c:pt>
                <c:pt idx="380">
                  <c:v>0.34267353393170025</c:v>
                </c:pt>
                <c:pt idx="381">
                  <c:v>0.34213141786113016</c:v>
                </c:pt>
                <c:pt idx="382">
                  <c:v>0.34092407482945919</c:v>
                </c:pt>
                <c:pt idx="383">
                  <c:v>0.3403819587588891</c:v>
                </c:pt>
                <c:pt idx="384">
                  <c:v>0.33688516812593783</c:v>
                </c:pt>
                <c:pt idx="385">
                  <c:v>0.33634305205536774</c:v>
                </c:pt>
                <c:pt idx="386">
                  <c:v>0.33580093598479765</c:v>
                </c:pt>
                <c:pt idx="387">
                  <c:v>0.33354400562956094</c:v>
                </c:pt>
                <c:pt idx="388">
                  <c:v>0.33233666259788996</c:v>
                </c:pt>
                <c:pt idx="389">
                  <c:v>0.33112931956621899</c:v>
                </c:pt>
                <c:pt idx="390">
                  <c:v>0.33058720349564891</c:v>
                </c:pt>
                <c:pt idx="391">
                  <c:v>0.32937986046397794</c:v>
                </c:pt>
                <c:pt idx="392">
                  <c:v>0.32817251743230696</c:v>
                </c:pt>
                <c:pt idx="393">
                  <c:v>0.32696517440063599</c:v>
                </c:pt>
                <c:pt idx="394">
                  <c:v>0.32346838376768472</c:v>
                </c:pt>
                <c:pt idx="395">
                  <c:v>0.32292626769711463</c:v>
                </c:pt>
                <c:pt idx="396">
                  <c:v>0.32066933734187791</c:v>
                </c:pt>
                <c:pt idx="397">
                  <c:v>0.31946199431020694</c:v>
                </c:pt>
                <c:pt idx="398">
                  <c:v>0.31941746342240407</c:v>
                </c:pt>
                <c:pt idx="399">
                  <c:v>0.31716053306716735</c:v>
                </c:pt>
                <c:pt idx="400">
                  <c:v>0.31490360271193063</c:v>
                </c:pt>
                <c:pt idx="401">
                  <c:v>0.31140681207897936</c:v>
                </c:pt>
                <c:pt idx="402">
                  <c:v>0.30791002144602808</c:v>
                </c:pt>
                <c:pt idx="403">
                  <c:v>0.30441323081307681</c:v>
                </c:pt>
                <c:pt idx="404">
                  <c:v>0.30091644018012553</c:v>
                </c:pt>
                <c:pt idx="405">
                  <c:v>0.29741964954717426</c:v>
                </c:pt>
                <c:pt idx="406">
                  <c:v>0.29392285891422298</c:v>
                </c:pt>
                <c:pt idx="407">
                  <c:v>0.29271551588255201</c:v>
                </c:pt>
                <c:pt idx="408">
                  <c:v>0.29150817285088104</c:v>
                </c:pt>
                <c:pt idx="409">
                  <c:v>0.28801138221792977</c:v>
                </c:pt>
                <c:pt idx="410">
                  <c:v>0.2868040391862588</c:v>
                </c:pt>
                <c:pt idx="411">
                  <c:v>0.28330724855330752</c:v>
                </c:pt>
                <c:pt idx="412">
                  <c:v>0.28276513248273744</c:v>
                </c:pt>
                <c:pt idx="413">
                  <c:v>0.28155778945106646</c:v>
                </c:pt>
                <c:pt idx="414">
                  <c:v>0.27806099881811519</c:v>
                </c:pt>
                <c:pt idx="415">
                  <c:v>0.27456420818516392</c:v>
                </c:pt>
                <c:pt idx="416">
                  <c:v>0.27335686515349295</c:v>
                </c:pt>
                <c:pt idx="417">
                  <c:v>0.26986007452054167</c:v>
                </c:pt>
                <c:pt idx="418">
                  <c:v>0.2686527314888707</c:v>
                </c:pt>
                <c:pt idx="419">
                  <c:v>0.26515594085591943</c:v>
                </c:pt>
                <c:pt idx="420">
                  <c:v>0.26165915022296815</c:v>
                </c:pt>
                <c:pt idx="421">
                  <c:v>0.25816235959001688</c:v>
                </c:pt>
                <c:pt idx="422">
                  <c:v>0.25590542923478016</c:v>
                </c:pt>
                <c:pt idx="423">
                  <c:v>0.25240863860182888</c:v>
                </c:pt>
                <c:pt idx="424">
                  <c:v>0.25015170824659216</c:v>
                </c:pt>
                <c:pt idx="425">
                  <c:v>0.24894436521492119</c:v>
                </c:pt>
                <c:pt idx="426">
                  <c:v>0.24773702218325019</c:v>
                </c:pt>
                <c:pt idx="427">
                  <c:v>0.2454800918280135</c:v>
                </c:pt>
                <c:pt idx="428">
                  <c:v>0.2442727487963425</c:v>
                </c:pt>
                <c:pt idx="429">
                  <c:v>0.2430654057646715</c:v>
                </c:pt>
                <c:pt idx="430">
                  <c:v>0.24080847540943481</c:v>
                </c:pt>
                <c:pt idx="431">
                  <c:v>0.23960113237776381</c:v>
                </c:pt>
                <c:pt idx="432">
                  <c:v>0.23839378934609282</c:v>
                </c:pt>
                <c:pt idx="433">
                  <c:v>0.23718644631442182</c:v>
                </c:pt>
                <c:pt idx="434">
                  <c:v>0.23597910328275082</c:v>
                </c:pt>
                <c:pt idx="435">
                  <c:v>0.23248231264979954</c:v>
                </c:pt>
                <c:pt idx="436">
                  <c:v>0.23127496961812855</c:v>
                </c:pt>
                <c:pt idx="437">
                  <c:v>0.22777817898517727</c:v>
                </c:pt>
                <c:pt idx="438">
                  <c:v>0.224281388352226</c:v>
                </c:pt>
                <c:pt idx="439">
                  <c:v>0.22202445799698931</c:v>
                </c:pt>
                <c:pt idx="440">
                  <c:v>0.21852766736403803</c:v>
                </c:pt>
                <c:pt idx="441">
                  <c:v>0.21732032433236703</c:v>
                </c:pt>
                <c:pt idx="442">
                  <c:v>0.21382353369941576</c:v>
                </c:pt>
                <c:pt idx="443">
                  <c:v>0.21156660334417907</c:v>
                </c:pt>
                <c:pt idx="444">
                  <c:v>0.21035926031250807</c:v>
                </c:pt>
                <c:pt idx="445">
                  <c:v>0.20810232995727138</c:v>
                </c:pt>
                <c:pt idx="446">
                  <c:v>0.20584539960203468</c:v>
                </c:pt>
                <c:pt idx="447">
                  <c:v>0.20234860896908341</c:v>
                </c:pt>
                <c:pt idx="448">
                  <c:v>0.19885181833613214</c:v>
                </c:pt>
                <c:pt idx="449">
                  <c:v>0.19535502770318086</c:v>
                </c:pt>
                <c:pt idx="450">
                  <c:v>0.19414768467150986</c:v>
                </c:pt>
                <c:pt idx="451">
                  <c:v>0.19189075431627317</c:v>
                </c:pt>
                <c:pt idx="452">
                  <c:v>0.18963382396103648</c:v>
                </c:pt>
                <c:pt idx="453">
                  <c:v>0.18737689360579979</c:v>
                </c:pt>
                <c:pt idx="454">
                  <c:v>0.18388010297284851</c:v>
                </c:pt>
                <c:pt idx="455">
                  <c:v>0.18267275994117751</c:v>
                </c:pt>
                <c:pt idx="456">
                  <c:v>0.18041582958594082</c:v>
                </c:pt>
                <c:pt idx="457">
                  <c:v>0.17920848655426982</c:v>
                </c:pt>
                <c:pt idx="458">
                  <c:v>0.17695155619903313</c:v>
                </c:pt>
                <c:pt idx="459">
                  <c:v>0.17469462584379644</c:v>
                </c:pt>
                <c:pt idx="460">
                  <c:v>0.17119783521084517</c:v>
                </c:pt>
                <c:pt idx="461">
                  <c:v>0.16770104457789389</c:v>
                </c:pt>
                <c:pt idx="462">
                  <c:v>0.16649370154622289</c:v>
                </c:pt>
                <c:pt idx="463">
                  <c:v>0.1642367711909862</c:v>
                </c:pt>
                <c:pt idx="464">
                  <c:v>0.16073998055803493</c:v>
                </c:pt>
                <c:pt idx="465">
                  <c:v>0.15953263752636393</c:v>
                </c:pt>
                <c:pt idx="466">
                  <c:v>0.15727570717112724</c:v>
                </c:pt>
                <c:pt idx="467">
                  <c:v>0.15606836413945624</c:v>
                </c:pt>
                <c:pt idx="468">
                  <c:v>0.15381143378421955</c:v>
                </c:pt>
                <c:pt idx="469">
                  <c:v>0.15155450342898286</c:v>
                </c:pt>
                <c:pt idx="470">
                  <c:v>0.15034716039731186</c:v>
                </c:pt>
                <c:pt idx="471">
                  <c:v>0.14809023004207517</c:v>
                </c:pt>
                <c:pt idx="472">
                  <c:v>0.14583329968683847</c:v>
                </c:pt>
                <c:pt idx="473">
                  <c:v>0.14357636933160178</c:v>
                </c:pt>
                <c:pt idx="474">
                  <c:v>0.14007957869865051</c:v>
                </c:pt>
                <c:pt idx="475">
                  <c:v>0.13658278806569923</c:v>
                </c:pt>
                <c:pt idx="476">
                  <c:v>0.13432585771046254</c:v>
                </c:pt>
                <c:pt idx="477">
                  <c:v>0.13082906707751127</c:v>
                </c:pt>
                <c:pt idx="478">
                  <c:v>0.12733227644455999</c:v>
                </c:pt>
                <c:pt idx="479">
                  <c:v>0.12383548581160871</c:v>
                </c:pt>
                <c:pt idx="480">
                  <c:v>0.12033869517865743</c:v>
                </c:pt>
                <c:pt idx="481">
                  <c:v>0.11913135214698643</c:v>
                </c:pt>
                <c:pt idx="482">
                  <c:v>0.11792400911531543</c:v>
                </c:pt>
                <c:pt idx="483">
                  <c:v>0.11738189304474536</c:v>
                </c:pt>
                <c:pt idx="484">
                  <c:v>0.11512496268950867</c:v>
                </c:pt>
                <c:pt idx="485">
                  <c:v>0.11391761965783767</c:v>
                </c:pt>
                <c:pt idx="486">
                  <c:v>0.11271027662616667</c:v>
                </c:pt>
                <c:pt idx="487">
                  <c:v>0.11150293359449567</c:v>
                </c:pt>
                <c:pt idx="488">
                  <c:v>0.10924600323925898</c:v>
                </c:pt>
                <c:pt idx="489">
                  <c:v>0.10698907288402229</c:v>
                </c:pt>
                <c:pt idx="490">
                  <c:v>0.10349228225107102</c:v>
                </c:pt>
                <c:pt idx="491">
                  <c:v>9.9995491618119742E-2</c:v>
                </c:pt>
                <c:pt idx="492">
                  <c:v>9.773856126288305E-2</c:v>
                </c:pt>
                <c:pt idx="493">
                  <c:v>9.4241770629931776E-2</c:v>
                </c:pt>
                <c:pt idx="494">
                  <c:v>9.1984840274695084E-2</c:v>
                </c:pt>
                <c:pt idx="495">
                  <c:v>8.9727909919458393E-2</c:v>
                </c:pt>
                <c:pt idx="496">
                  <c:v>8.7470979564221701E-2</c:v>
                </c:pt>
                <c:pt idx="497">
                  <c:v>8.521404920898501E-2</c:v>
                </c:pt>
                <c:pt idx="498">
                  <c:v>8.4006706177314011E-2</c:v>
                </c:pt>
                <c:pt idx="499">
                  <c:v>8.174977582207732E-2</c:v>
                </c:pt>
                <c:pt idx="500">
                  <c:v>7.9492845466840628E-2</c:v>
                </c:pt>
                <c:pt idx="501">
                  <c:v>7.5996054833889354E-2</c:v>
                </c:pt>
                <c:pt idx="502">
                  <c:v>7.3739124478652662E-2</c:v>
                </c:pt>
                <c:pt idx="503">
                  <c:v>7.1482194123415971E-2</c:v>
                </c:pt>
                <c:pt idx="504">
                  <c:v>6.9225263768179279E-2</c:v>
                </c:pt>
                <c:pt idx="505">
                  <c:v>6.8017920736508281E-2</c:v>
                </c:pt>
                <c:pt idx="506">
                  <c:v>6.6810577704837282E-2</c:v>
                </c:pt>
                <c:pt idx="507">
                  <c:v>6.455364734960059E-2</c:v>
                </c:pt>
                <c:pt idx="508">
                  <c:v>6.2296716994363892E-2</c:v>
                </c:pt>
                <c:pt idx="509">
                  <c:v>6.10893739626929E-2</c:v>
                </c:pt>
                <c:pt idx="510">
                  <c:v>5.8832443607456202E-2</c:v>
                </c:pt>
                <c:pt idx="511">
                  <c:v>5.5335652974504927E-2</c:v>
                </c:pt>
                <c:pt idx="512">
                  <c:v>5.3078722619268229E-2</c:v>
                </c:pt>
                <c:pt idx="513">
                  <c:v>5.082179226403153E-2</c:v>
                </c:pt>
                <c:pt idx="514">
                  <c:v>4.9614449232360538E-2</c:v>
                </c:pt>
                <c:pt idx="515">
                  <c:v>4.8407106200689547E-2</c:v>
                </c:pt>
                <c:pt idx="516">
                  <c:v>4.6150175845452848E-2</c:v>
                </c:pt>
                <c:pt idx="517">
                  <c:v>4.4942832813781856E-2</c:v>
                </c:pt>
                <c:pt idx="518">
                  <c:v>4.2685902458545158E-2</c:v>
                </c:pt>
                <c:pt idx="519">
                  <c:v>4.1478559426874166E-2</c:v>
                </c:pt>
                <c:pt idx="520">
                  <c:v>3.9221629071637468E-2</c:v>
                </c:pt>
                <c:pt idx="521">
                  <c:v>3.8014286039966476E-2</c:v>
                </c:pt>
                <c:pt idx="522">
                  <c:v>3.6806943008295484E-2</c:v>
                </c:pt>
                <c:pt idx="523">
                  <c:v>3.4550012653058786E-2</c:v>
                </c:pt>
                <c:pt idx="524">
                  <c:v>3.2293082297822087E-2</c:v>
                </c:pt>
                <c:pt idx="525">
                  <c:v>3.0036151942585389E-2</c:v>
                </c:pt>
                <c:pt idx="526">
                  <c:v>2.777922158734869E-2</c:v>
                </c:pt>
                <c:pt idx="527">
                  <c:v>2.4282430954397416E-2</c:v>
                </c:pt>
                <c:pt idx="528">
                  <c:v>2.2025500599160718E-2</c:v>
                </c:pt>
                <c:pt idx="529">
                  <c:v>2.0818157567489726E-2</c:v>
                </c:pt>
                <c:pt idx="530">
                  <c:v>1.8561227212253027E-2</c:v>
                </c:pt>
                <c:pt idx="531">
                  <c:v>1.7353884180582035E-2</c:v>
                </c:pt>
                <c:pt idx="532">
                  <c:v>1.5096953825345339E-2</c:v>
                </c:pt>
                <c:pt idx="533">
                  <c:v>1.1600163192394063E-2</c:v>
                </c:pt>
                <c:pt idx="534">
                  <c:v>1.0392820160723071E-2</c:v>
                </c:pt>
                <c:pt idx="535">
                  <c:v>9.185477129052079E-3</c:v>
                </c:pt>
                <c:pt idx="536">
                  <c:v>6.9285467738153814E-3</c:v>
                </c:pt>
                <c:pt idx="537">
                  <c:v>4.671616418578683E-3</c:v>
                </c:pt>
                <c:pt idx="538">
                  <c:v>3.4642733869076907E-3</c:v>
                </c:pt>
                <c:pt idx="539">
                  <c:v>1.2073430316709923E-3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A5-42D5-A903-9BA8242127F8}"/>
            </c:ext>
          </c:extLst>
        </c:ser>
        <c:ser>
          <c:idx val="1"/>
          <c:order val="1"/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Extrapolation!$G$12:$G$552</c:f>
              <c:numCache>
                <c:formatCode>General</c:formatCode>
                <c:ptCount val="541"/>
                <c:pt idx="0">
                  <c:v>5624.7134999999998</c:v>
                </c:pt>
                <c:pt idx="1">
                  <c:v>5885.5654999999997</c:v>
                </c:pt>
                <c:pt idx="2">
                  <c:v>5993.6239999999998</c:v>
                </c:pt>
                <c:pt idx="3">
                  <c:v>6282.9975000000004</c:v>
                </c:pt>
                <c:pt idx="4">
                  <c:v>6293.7560000000003</c:v>
                </c:pt>
                <c:pt idx="5">
                  <c:v>6416.1414999999997</c:v>
                </c:pt>
                <c:pt idx="6">
                  <c:v>6418.6109999999999</c:v>
                </c:pt>
                <c:pt idx="7">
                  <c:v>6475.9049999999997</c:v>
                </c:pt>
                <c:pt idx="8">
                  <c:v>6573.0805</c:v>
                </c:pt>
                <c:pt idx="9">
                  <c:v>6676.3815000000004</c:v>
                </c:pt>
                <c:pt idx="10">
                  <c:v>6785.2920000000004</c:v>
                </c:pt>
                <c:pt idx="11">
                  <c:v>6799.8275000000003</c:v>
                </c:pt>
                <c:pt idx="12">
                  <c:v>6881.2690000000002</c:v>
                </c:pt>
                <c:pt idx="13">
                  <c:v>6912.9544999999998</c:v>
                </c:pt>
                <c:pt idx="14">
                  <c:v>7248.6824999999999</c:v>
                </c:pt>
                <c:pt idx="15">
                  <c:v>10081.438</c:v>
                </c:pt>
                <c:pt idx="16">
                  <c:v>10167.035</c:v>
                </c:pt>
                <c:pt idx="17">
                  <c:v>10334.153</c:v>
                </c:pt>
                <c:pt idx="18">
                  <c:v>10415.138000000001</c:v>
                </c:pt>
                <c:pt idx="19">
                  <c:v>10472.677</c:v>
                </c:pt>
                <c:pt idx="20">
                  <c:v>10499.484</c:v>
                </c:pt>
                <c:pt idx="21">
                  <c:v>10530.054</c:v>
                </c:pt>
                <c:pt idx="22">
                  <c:v>10534.968000000001</c:v>
                </c:pt>
                <c:pt idx="23">
                  <c:v>10578.025</c:v>
                </c:pt>
                <c:pt idx="24">
                  <c:v>10585.02</c:v>
                </c:pt>
                <c:pt idx="25">
                  <c:v>10586.116</c:v>
                </c:pt>
                <c:pt idx="26">
                  <c:v>10598.055</c:v>
                </c:pt>
                <c:pt idx="27">
                  <c:v>10599.099</c:v>
                </c:pt>
                <c:pt idx="28">
                  <c:v>10629.424999999999</c:v>
                </c:pt>
                <c:pt idx="29">
                  <c:v>10652.987999999999</c:v>
                </c:pt>
                <c:pt idx="30">
                  <c:v>10664.909</c:v>
                </c:pt>
                <c:pt idx="31">
                  <c:v>10670.037</c:v>
                </c:pt>
                <c:pt idx="32">
                  <c:v>10686.388999999999</c:v>
                </c:pt>
                <c:pt idx="33">
                  <c:v>10696.486000000001</c:v>
                </c:pt>
                <c:pt idx="34">
                  <c:v>10703.904</c:v>
                </c:pt>
                <c:pt idx="35">
                  <c:v>10705.538</c:v>
                </c:pt>
                <c:pt idx="36">
                  <c:v>10710.21</c:v>
                </c:pt>
                <c:pt idx="37">
                  <c:v>10726.272999999999</c:v>
                </c:pt>
                <c:pt idx="38">
                  <c:v>10733.601000000001</c:v>
                </c:pt>
                <c:pt idx="39">
                  <c:v>10758.316999999999</c:v>
                </c:pt>
                <c:pt idx="40">
                  <c:v>10767.529</c:v>
                </c:pt>
                <c:pt idx="41">
                  <c:v>10806.300999999999</c:v>
                </c:pt>
                <c:pt idx="42">
                  <c:v>10833.503000000001</c:v>
                </c:pt>
                <c:pt idx="43">
                  <c:v>10859.38</c:v>
                </c:pt>
                <c:pt idx="44">
                  <c:v>10864.152</c:v>
                </c:pt>
                <c:pt idx="45">
                  <c:v>10881.312</c:v>
                </c:pt>
                <c:pt idx="46">
                  <c:v>10886.655000000001</c:v>
                </c:pt>
                <c:pt idx="47">
                  <c:v>10887.987999999999</c:v>
                </c:pt>
                <c:pt idx="48">
                  <c:v>10890.423000000001</c:v>
                </c:pt>
                <c:pt idx="49">
                  <c:v>10894.819</c:v>
                </c:pt>
                <c:pt idx="50">
                  <c:v>10901.852000000001</c:v>
                </c:pt>
                <c:pt idx="51">
                  <c:v>10904.912</c:v>
                </c:pt>
                <c:pt idx="52">
                  <c:v>10913.648999999999</c:v>
                </c:pt>
                <c:pt idx="53">
                  <c:v>10913.678</c:v>
                </c:pt>
                <c:pt idx="54">
                  <c:v>10916.842000000001</c:v>
                </c:pt>
                <c:pt idx="55">
                  <c:v>10943.33</c:v>
                </c:pt>
                <c:pt idx="56">
                  <c:v>10960.566999999999</c:v>
                </c:pt>
                <c:pt idx="57">
                  <c:v>10976.707</c:v>
                </c:pt>
                <c:pt idx="58">
                  <c:v>10982.111000000001</c:v>
                </c:pt>
                <c:pt idx="59">
                  <c:v>10984.009</c:v>
                </c:pt>
                <c:pt idx="60">
                  <c:v>10992.638000000001</c:v>
                </c:pt>
                <c:pt idx="61">
                  <c:v>10999.705</c:v>
                </c:pt>
                <c:pt idx="62">
                  <c:v>11004.118</c:v>
                </c:pt>
                <c:pt idx="63">
                  <c:v>11027.460999999999</c:v>
                </c:pt>
                <c:pt idx="64">
                  <c:v>11032.638000000001</c:v>
                </c:pt>
                <c:pt idx="65">
                  <c:v>11034.964</c:v>
                </c:pt>
                <c:pt idx="66">
                  <c:v>11036.741</c:v>
                </c:pt>
                <c:pt idx="67">
                  <c:v>11040.394</c:v>
                </c:pt>
                <c:pt idx="68">
                  <c:v>11040.434999999999</c:v>
                </c:pt>
                <c:pt idx="69">
                  <c:v>11041.183999999999</c:v>
                </c:pt>
                <c:pt idx="70">
                  <c:v>11044.722</c:v>
                </c:pt>
                <c:pt idx="71">
                  <c:v>11045.536</c:v>
                </c:pt>
                <c:pt idx="72">
                  <c:v>11064.25</c:v>
                </c:pt>
                <c:pt idx="73">
                  <c:v>11066.450999999999</c:v>
                </c:pt>
                <c:pt idx="74">
                  <c:v>11068.517</c:v>
                </c:pt>
                <c:pt idx="75">
                  <c:v>11069</c:v>
                </c:pt>
                <c:pt idx="76">
                  <c:v>11092.861000000001</c:v>
                </c:pt>
                <c:pt idx="77">
                  <c:v>11096.716</c:v>
                </c:pt>
                <c:pt idx="78">
                  <c:v>11101.36</c:v>
                </c:pt>
                <c:pt idx="79">
                  <c:v>11112.736999999999</c:v>
                </c:pt>
                <c:pt idx="80">
                  <c:v>11115.236000000001</c:v>
                </c:pt>
                <c:pt idx="81">
                  <c:v>11118.546</c:v>
                </c:pt>
                <c:pt idx="82">
                  <c:v>11121.617</c:v>
                </c:pt>
                <c:pt idx="83">
                  <c:v>11130.745999999999</c:v>
                </c:pt>
                <c:pt idx="84">
                  <c:v>11136.241</c:v>
                </c:pt>
                <c:pt idx="85">
                  <c:v>11142.665000000001</c:v>
                </c:pt>
                <c:pt idx="86">
                  <c:v>11152.513000000001</c:v>
                </c:pt>
                <c:pt idx="87">
                  <c:v>11164.696</c:v>
                </c:pt>
                <c:pt idx="88">
                  <c:v>11165.755999999999</c:v>
                </c:pt>
                <c:pt idx="89">
                  <c:v>11175.722</c:v>
                </c:pt>
                <c:pt idx="90">
                  <c:v>11178.877</c:v>
                </c:pt>
                <c:pt idx="91">
                  <c:v>11182.811</c:v>
                </c:pt>
                <c:pt idx="92">
                  <c:v>11193.681</c:v>
                </c:pt>
                <c:pt idx="93">
                  <c:v>11195.967000000001</c:v>
                </c:pt>
                <c:pt idx="94">
                  <c:v>11198.43</c:v>
                </c:pt>
                <c:pt idx="95">
                  <c:v>11203.428</c:v>
                </c:pt>
                <c:pt idx="96">
                  <c:v>11212.210999999999</c:v>
                </c:pt>
                <c:pt idx="97">
                  <c:v>11222.189</c:v>
                </c:pt>
                <c:pt idx="98">
                  <c:v>11223.037</c:v>
                </c:pt>
                <c:pt idx="99">
                  <c:v>11227.407999999999</c:v>
                </c:pt>
                <c:pt idx="100">
                  <c:v>11243.501</c:v>
                </c:pt>
                <c:pt idx="101">
                  <c:v>11244.69</c:v>
                </c:pt>
                <c:pt idx="102">
                  <c:v>11245.949000000001</c:v>
                </c:pt>
                <c:pt idx="103">
                  <c:v>11252.272000000001</c:v>
                </c:pt>
                <c:pt idx="104">
                  <c:v>11254.064</c:v>
                </c:pt>
                <c:pt idx="105">
                  <c:v>11254.12</c:v>
                </c:pt>
                <c:pt idx="106">
                  <c:v>11265.599</c:v>
                </c:pt>
                <c:pt idx="107">
                  <c:v>11266.5</c:v>
                </c:pt>
                <c:pt idx="108">
                  <c:v>11274.84</c:v>
                </c:pt>
                <c:pt idx="109">
                  <c:v>11275.379000000001</c:v>
                </c:pt>
                <c:pt idx="110">
                  <c:v>11277.529</c:v>
                </c:pt>
                <c:pt idx="111">
                  <c:v>11279.358</c:v>
                </c:pt>
                <c:pt idx="112">
                  <c:v>11283.663</c:v>
                </c:pt>
                <c:pt idx="113">
                  <c:v>11296.22</c:v>
                </c:pt>
                <c:pt idx="114">
                  <c:v>11296.544</c:v>
                </c:pt>
                <c:pt idx="115">
                  <c:v>11297.424000000001</c:v>
                </c:pt>
                <c:pt idx="116">
                  <c:v>11298.531000000001</c:v>
                </c:pt>
                <c:pt idx="117">
                  <c:v>11299.42</c:v>
                </c:pt>
                <c:pt idx="118">
                  <c:v>11300.178</c:v>
                </c:pt>
                <c:pt idx="119">
                  <c:v>11321.169</c:v>
                </c:pt>
                <c:pt idx="120">
                  <c:v>11337.442999999999</c:v>
                </c:pt>
                <c:pt idx="121">
                  <c:v>11346.483</c:v>
                </c:pt>
                <c:pt idx="122">
                  <c:v>11360.764999999999</c:v>
                </c:pt>
                <c:pt idx="123">
                  <c:v>11369.629000000001</c:v>
                </c:pt>
                <c:pt idx="124">
                  <c:v>11371.81</c:v>
                </c:pt>
                <c:pt idx="125">
                  <c:v>11373.200999999999</c:v>
                </c:pt>
                <c:pt idx="126">
                  <c:v>11379.162</c:v>
                </c:pt>
                <c:pt idx="127">
                  <c:v>11383.141</c:v>
                </c:pt>
                <c:pt idx="128">
                  <c:v>11386.744000000001</c:v>
                </c:pt>
                <c:pt idx="129">
                  <c:v>11387.923000000001</c:v>
                </c:pt>
                <c:pt idx="130">
                  <c:v>11389.672</c:v>
                </c:pt>
                <c:pt idx="131">
                  <c:v>11390.313</c:v>
                </c:pt>
                <c:pt idx="132">
                  <c:v>11391.239</c:v>
                </c:pt>
                <c:pt idx="133">
                  <c:v>11392.88</c:v>
                </c:pt>
                <c:pt idx="134">
                  <c:v>11400.709000000001</c:v>
                </c:pt>
                <c:pt idx="135">
                  <c:v>11408.696</c:v>
                </c:pt>
                <c:pt idx="136">
                  <c:v>11415.834000000001</c:v>
                </c:pt>
                <c:pt idx="137">
                  <c:v>11425.584000000001</c:v>
                </c:pt>
                <c:pt idx="138">
                  <c:v>11427.796</c:v>
                </c:pt>
                <c:pt idx="139">
                  <c:v>11430.508</c:v>
                </c:pt>
                <c:pt idx="140">
                  <c:v>11447.975</c:v>
                </c:pt>
                <c:pt idx="141">
                  <c:v>11448.995999999999</c:v>
                </c:pt>
                <c:pt idx="142">
                  <c:v>11452.532999999999</c:v>
                </c:pt>
                <c:pt idx="143">
                  <c:v>11454.251</c:v>
                </c:pt>
                <c:pt idx="144">
                  <c:v>11466.591</c:v>
                </c:pt>
                <c:pt idx="145">
                  <c:v>11471.838</c:v>
                </c:pt>
                <c:pt idx="146">
                  <c:v>11495.041999999999</c:v>
                </c:pt>
                <c:pt idx="147">
                  <c:v>11496.522000000001</c:v>
                </c:pt>
                <c:pt idx="148">
                  <c:v>11497.657999999999</c:v>
                </c:pt>
                <c:pt idx="149">
                  <c:v>11498.441999999999</c:v>
                </c:pt>
                <c:pt idx="150">
                  <c:v>11507.633</c:v>
                </c:pt>
                <c:pt idx="151">
                  <c:v>11508.758</c:v>
                </c:pt>
                <c:pt idx="152">
                  <c:v>11512.828</c:v>
                </c:pt>
                <c:pt idx="153">
                  <c:v>11520.924999999999</c:v>
                </c:pt>
                <c:pt idx="154">
                  <c:v>11542.385</c:v>
                </c:pt>
                <c:pt idx="155">
                  <c:v>11547.934999999999</c:v>
                </c:pt>
                <c:pt idx="156">
                  <c:v>11556.199000000001</c:v>
                </c:pt>
                <c:pt idx="157">
                  <c:v>11571.634</c:v>
                </c:pt>
                <c:pt idx="158">
                  <c:v>11579.456</c:v>
                </c:pt>
                <c:pt idx="159">
                  <c:v>11590.161</c:v>
                </c:pt>
                <c:pt idx="160">
                  <c:v>11597.001</c:v>
                </c:pt>
                <c:pt idx="161">
                  <c:v>11601.86</c:v>
                </c:pt>
                <c:pt idx="162">
                  <c:v>11605.085999999999</c:v>
                </c:pt>
                <c:pt idx="163">
                  <c:v>11607.431</c:v>
                </c:pt>
                <c:pt idx="164">
                  <c:v>11609.155000000001</c:v>
                </c:pt>
                <c:pt idx="165">
                  <c:v>11611.392</c:v>
                </c:pt>
                <c:pt idx="166">
                  <c:v>11635.745000000001</c:v>
                </c:pt>
                <c:pt idx="167">
                  <c:v>11637.455</c:v>
                </c:pt>
                <c:pt idx="168">
                  <c:v>11670.454</c:v>
                </c:pt>
                <c:pt idx="169">
                  <c:v>11671.893</c:v>
                </c:pt>
                <c:pt idx="170">
                  <c:v>11681.581</c:v>
                </c:pt>
                <c:pt idx="171">
                  <c:v>11682.271000000001</c:v>
                </c:pt>
                <c:pt idx="172">
                  <c:v>11682.284</c:v>
                </c:pt>
                <c:pt idx="173">
                  <c:v>11690.396000000001</c:v>
                </c:pt>
                <c:pt idx="174">
                  <c:v>11691.415000000001</c:v>
                </c:pt>
                <c:pt idx="175">
                  <c:v>11693.453</c:v>
                </c:pt>
                <c:pt idx="176">
                  <c:v>11722.093999999999</c:v>
                </c:pt>
                <c:pt idx="177">
                  <c:v>11724.33</c:v>
                </c:pt>
                <c:pt idx="178">
                  <c:v>11740.727999999999</c:v>
                </c:pt>
                <c:pt idx="179">
                  <c:v>11743.755999999999</c:v>
                </c:pt>
                <c:pt idx="180">
                  <c:v>11746.727999999999</c:v>
                </c:pt>
                <c:pt idx="181">
                  <c:v>11752.465</c:v>
                </c:pt>
                <c:pt idx="182">
                  <c:v>11758.232</c:v>
                </c:pt>
                <c:pt idx="183">
                  <c:v>11759.427</c:v>
                </c:pt>
                <c:pt idx="184">
                  <c:v>11760.489</c:v>
                </c:pt>
                <c:pt idx="185">
                  <c:v>11761.902</c:v>
                </c:pt>
                <c:pt idx="186">
                  <c:v>11765.183000000001</c:v>
                </c:pt>
                <c:pt idx="187">
                  <c:v>11782.627</c:v>
                </c:pt>
                <c:pt idx="188">
                  <c:v>11784.736000000001</c:v>
                </c:pt>
                <c:pt idx="189">
                  <c:v>11791.772999999999</c:v>
                </c:pt>
                <c:pt idx="190">
                  <c:v>11793.307000000001</c:v>
                </c:pt>
                <c:pt idx="191">
                  <c:v>11803.215</c:v>
                </c:pt>
                <c:pt idx="192">
                  <c:v>11804.915000000001</c:v>
                </c:pt>
                <c:pt idx="193">
                  <c:v>11811.682000000001</c:v>
                </c:pt>
                <c:pt idx="194">
                  <c:v>11814.295</c:v>
                </c:pt>
                <c:pt idx="195">
                  <c:v>11821.853999999999</c:v>
                </c:pt>
                <c:pt idx="196">
                  <c:v>11828.441999999999</c:v>
                </c:pt>
                <c:pt idx="197">
                  <c:v>11836.364</c:v>
                </c:pt>
                <c:pt idx="198">
                  <c:v>11855.197</c:v>
                </c:pt>
                <c:pt idx="199">
                  <c:v>11862.083000000001</c:v>
                </c:pt>
                <c:pt idx="200">
                  <c:v>11868.808000000001</c:v>
                </c:pt>
                <c:pt idx="201">
                  <c:v>11879.173000000001</c:v>
                </c:pt>
                <c:pt idx="202">
                  <c:v>11884.995999999999</c:v>
                </c:pt>
                <c:pt idx="203">
                  <c:v>11895.207</c:v>
                </c:pt>
                <c:pt idx="204">
                  <c:v>11901.981</c:v>
                </c:pt>
                <c:pt idx="205">
                  <c:v>11914.039000000001</c:v>
                </c:pt>
                <c:pt idx="206">
                  <c:v>11914.287</c:v>
                </c:pt>
                <c:pt idx="207">
                  <c:v>11917.583000000001</c:v>
                </c:pt>
                <c:pt idx="208">
                  <c:v>11938.933999999999</c:v>
                </c:pt>
                <c:pt idx="209">
                  <c:v>11939.718000000001</c:v>
                </c:pt>
                <c:pt idx="210">
                  <c:v>11942.263999999999</c:v>
                </c:pt>
                <c:pt idx="211">
                  <c:v>11946.736000000001</c:v>
                </c:pt>
                <c:pt idx="212">
                  <c:v>11952.183000000001</c:v>
                </c:pt>
                <c:pt idx="213">
                  <c:v>11953.825999999999</c:v>
                </c:pt>
                <c:pt idx="214">
                  <c:v>11954.554</c:v>
                </c:pt>
                <c:pt idx="215">
                  <c:v>11954.909</c:v>
                </c:pt>
                <c:pt idx="216">
                  <c:v>11959.753000000001</c:v>
                </c:pt>
                <c:pt idx="217">
                  <c:v>11960.228999999999</c:v>
                </c:pt>
                <c:pt idx="218">
                  <c:v>11963.218000000001</c:v>
                </c:pt>
                <c:pt idx="219">
                  <c:v>11965.358</c:v>
                </c:pt>
                <c:pt idx="220">
                  <c:v>11967.643</c:v>
                </c:pt>
                <c:pt idx="221">
                  <c:v>11969.858</c:v>
                </c:pt>
                <c:pt idx="222">
                  <c:v>11970.027</c:v>
                </c:pt>
                <c:pt idx="223">
                  <c:v>11974.33</c:v>
                </c:pt>
                <c:pt idx="224">
                  <c:v>11975.695</c:v>
                </c:pt>
                <c:pt idx="225">
                  <c:v>11977.156999999999</c:v>
                </c:pt>
                <c:pt idx="226">
                  <c:v>11982.342000000001</c:v>
                </c:pt>
                <c:pt idx="227">
                  <c:v>11987.763000000001</c:v>
                </c:pt>
                <c:pt idx="228">
                  <c:v>11991.040999999999</c:v>
                </c:pt>
                <c:pt idx="229">
                  <c:v>11994.058999999999</c:v>
                </c:pt>
                <c:pt idx="230">
                  <c:v>11999.584999999999</c:v>
                </c:pt>
                <c:pt idx="231">
                  <c:v>12002.617</c:v>
                </c:pt>
                <c:pt idx="232">
                  <c:v>12003.755999999999</c:v>
                </c:pt>
                <c:pt idx="233">
                  <c:v>12012.548000000001</c:v>
                </c:pt>
                <c:pt idx="234">
                  <c:v>12023.162</c:v>
                </c:pt>
                <c:pt idx="235">
                  <c:v>12025.763000000001</c:v>
                </c:pt>
                <c:pt idx="236">
                  <c:v>12025.766</c:v>
                </c:pt>
                <c:pt idx="237">
                  <c:v>12027.552</c:v>
                </c:pt>
                <c:pt idx="238">
                  <c:v>12027.98</c:v>
                </c:pt>
                <c:pt idx="239">
                  <c:v>12035.15</c:v>
                </c:pt>
                <c:pt idx="240">
                  <c:v>12054.898999999999</c:v>
                </c:pt>
                <c:pt idx="241">
                  <c:v>12057.456</c:v>
                </c:pt>
                <c:pt idx="242">
                  <c:v>12063.7</c:v>
                </c:pt>
                <c:pt idx="243">
                  <c:v>12070.271000000001</c:v>
                </c:pt>
                <c:pt idx="244">
                  <c:v>12070.371999999999</c:v>
                </c:pt>
                <c:pt idx="245">
                  <c:v>12073.227000000001</c:v>
                </c:pt>
                <c:pt idx="246">
                  <c:v>12080.102000000001</c:v>
                </c:pt>
                <c:pt idx="247">
                  <c:v>12080.422</c:v>
                </c:pt>
                <c:pt idx="248">
                  <c:v>12081.634</c:v>
                </c:pt>
                <c:pt idx="249">
                  <c:v>12081.728999999999</c:v>
                </c:pt>
                <c:pt idx="250">
                  <c:v>12087.064</c:v>
                </c:pt>
                <c:pt idx="251">
                  <c:v>12090.888999999999</c:v>
                </c:pt>
                <c:pt idx="252">
                  <c:v>12103.352000000001</c:v>
                </c:pt>
                <c:pt idx="253">
                  <c:v>12120.851000000001</c:v>
                </c:pt>
                <c:pt idx="254">
                  <c:v>12132.618</c:v>
                </c:pt>
                <c:pt idx="255">
                  <c:v>12156.767</c:v>
                </c:pt>
                <c:pt idx="256">
                  <c:v>12160.609</c:v>
                </c:pt>
                <c:pt idx="257">
                  <c:v>12160.717000000001</c:v>
                </c:pt>
                <c:pt idx="258">
                  <c:v>12162.334999999999</c:v>
                </c:pt>
                <c:pt idx="259">
                  <c:v>12164.101000000001</c:v>
                </c:pt>
                <c:pt idx="260">
                  <c:v>12167.803</c:v>
                </c:pt>
                <c:pt idx="261">
                  <c:v>12171.002</c:v>
                </c:pt>
                <c:pt idx="262">
                  <c:v>12173.144</c:v>
                </c:pt>
                <c:pt idx="263">
                  <c:v>12173.232</c:v>
                </c:pt>
                <c:pt idx="264">
                  <c:v>12176.922</c:v>
                </c:pt>
                <c:pt idx="265">
                  <c:v>12186.665999999999</c:v>
                </c:pt>
                <c:pt idx="266">
                  <c:v>12192.262000000001</c:v>
                </c:pt>
                <c:pt idx="267">
                  <c:v>12207.674000000001</c:v>
                </c:pt>
                <c:pt idx="268">
                  <c:v>12211.864</c:v>
                </c:pt>
                <c:pt idx="269">
                  <c:v>12215.914000000001</c:v>
                </c:pt>
                <c:pt idx="270">
                  <c:v>12219.700999999999</c:v>
                </c:pt>
                <c:pt idx="271">
                  <c:v>12223.687</c:v>
                </c:pt>
                <c:pt idx="272">
                  <c:v>12229.552</c:v>
                </c:pt>
                <c:pt idx="273">
                  <c:v>12232.473</c:v>
                </c:pt>
                <c:pt idx="274">
                  <c:v>12233.844999999999</c:v>
                </c:pt>
                <c:pt idx="275">
                  <c:v>12235.995999999999</c:v>
                </c:pt>
                <c:pt idx="276">
                  <c:v>12250.027</c:v>
                </c:pt>
                <c:pt idx="277">
                  <c:v>12260.069</c:v>
                </c:pt>
                <c:pt idx="278">
                  <c:v>12267.537</c:v>
                </c:pt>
                <c:pt idx="279">
                  <c:v>12273.257</c:v>
                </c:pt>
                <c:pt idx="280">
                  <c:v>12285.712</c:v>
                </c:pt>
                <c:pt idx="281">
                  <c:v>12287.157999999999</c:v>
                </c:pt>
                <c:pt idx="282">
                  <c:v>12323.299000000001</c:v>
                </c:pt>
                <c:pt idx="283">
                  <c:v>12327.271000000001</c:v>
                </c:pt>
                <c:pt idx="284">
                  <c:v>12337.031999999999</c:v>
                </c:pt>
                <c:pt idx="285">
                  <c:v>12340.678</c:v>
                </c:pt>
                <c:pt idx="286">
                  <c:v>12358.195</c:v>
                </c:pt>
                <c:pt idx="287">
                  <c:v>12362.715</c:v>
                </c:pt>
                <c:pt idx="288">
                  <c:v>12374.013000000001</c:v>
                </c:pt>
                <c:pt idx="289">
                  <c:v>12380.664000000001</c:v>
                </c:pt>
                <c:pt idx="290">
                  <c:v>12385.584999999999</c:v>
                </c:pt>
                <c:pt idx="291">
                  <c:v>12390.43</c:v>
                </c:pt>
                <c:pt idx="292">
                  <c:v>12398.004999999999</c:v>
                </c:pt>
                <c:pt idx="293">
                  <c:v>12418.16</c:v>
                </c:pt>
                <c:pt idx="294">
                  <c:v>12423.031999999999</c:v>
                </c:pt>
                <c:pt idx="295">
                  <c:v>12427.741</c:v>
                </c:pt>
                <c:pt idx="296">
                  <c:v>12429.627</c:v>
                </c:pt>
                <c:pt idx="297">
                  <c:v>12432.407999999999</c:v>
                </c:pt>
                <c:pt idx="298">
                  <c:v>12433.504000000001</c:v>
                </c:pt>
                <c:pt idx="299">
                  <c:v>12434.628000000001</c:v>
                </c:pt>
                <c:pt idx="300">
                  <c:v>12444.278</c:v>
                </c:pt>
                <c:pt idx="301">
                  <c:v>12463.029</c:v>
                </c:pt>
                <c:pt idx="302">
                  <c:v>12466.427</c:v>
                </c:pt>
                <c:pt idx="303">
                  <c:v>12466.87</c:v>
                </c:pt>
                <c:pt idx="304">
                  <c:v>12472.198</c:v>
                </c:pt>
                <c:pt idx="305">
                  <c:v>12477.911</c:v>
                </c:pt>
                <c:pt idx="306">
                  <c:v>12489.96</c:v>
                </c:pt>
                <c:pt idx="307">
                  <c:v>12504.101000000001</c:v>
                </c:pt>
                <c:pt idx="308">
                  <c:v>12508.331</c:v>
                </c:pt>
                <c:pt idx="309">
                  <c:v>12509.498</c:v>
                </c:pt>
                <c:pt idx="310">
                  <c:v>12520.357</c:v>
                </c:pt>
                <c:pt idx="311">
                  <c:v>12532.154</c:v>
                </c:pt>
                <c:pt idx="312">
                  <c:v>12536.587</c:v>
                </c:pt>
                <c:pt idx="313">
                  <c:v>12536.77</c:v>
                </c:pt>
                <c:pt idx="314">
                  <c:v>12547.949000000001</c:v>
                </c:pt>
                <c:pt idx="315">
                  <c:v>12557.68</c:v>
                </c:pt>
                <c:pt idx="316">
                  <c:v>12558.018</c:v>
                </c:pt>
                <c:pt idx="317">
                  <c:v>12574.141</c:v>
                </c:pt>
                <c:pt idx="318">
                  <c:v>12576.591</c:v>
                </c:pt>
                <c:pt idx="319">
                  <c:v>12586.362999999999</c:v>
                </c:pt>
                <c:pt idx="320">
                  <c:v>12588.785</c:v>
                </c:pt>
                <c:pt idx="321">
                  <c:v>12597.227999999999</c:v>
                </c:pt>
                <c:pt idx="322">
                  <c:v>12597.404</c:v>
                </c:pt>
                <c:pt idx="323">
                  <c:v>12610.069</c:v>
                </c:pt>
                <c:pt idx="324">
                  <c:v>12629.735000000001</c:v>
                </c:pt>
                <c:pt idx="325">
                  <c:v>12632.486000000001</c:v>
                </c:pt>
                <c:pt idx="326">
                  <c:v>12644.716</c:v>
                </c:pt>
                <c:pt idx="327">
                  <c:v>12663.361999999999</c:v>
                </c:pt>
                <c:pt idx="328">
                  <c:v>12670.269</c:v>
                </c:pt>
                <c:pt idx="329">
                  <c:v>12681.498</c:v>
                </c:pt>
                <c:pt idx="330">
                  <c:v>12699.089</c:v>
                </c:pt>
                <c:pt idx="331">
                  <c:v>12703.974</c:v>
                </c:pt>
                <c:pt idx="332">
                  <c:v>12724.106</c:v>
                </c:pt>
                <c:pt idx="333">
                  <c:v>12742.337</c:v>
                </c:pt>
                <c:pt idx="334">
                  <c:v>12744.731</c:v>
                </c:pt>
                <c:pt idx="335">
                  <c:v>12748.821</c:v>
                </c:pt>
                <c:pt idx="336">
                  <c:v>12782.067999999999</c:v>
                </c:pt>
                <c:pt idx="337">
                  <c:v>12791.697</c:v>
                </c:pt>
                <c:pt idx="338">
                  <c:v>12794.602000000001</c:v>
                </c:pt>
                <c:pt idx="339">
                  <c:v>12805.72</c:v>
                </c:pt>
                <c:pt idx="340">
                  <c:v>12805.828</c:v>
                </c:pt>
                <c:pt idx="341">
                  <c:v>12811.433000000001</c:v>
                </c:pt>
                <c:pt idx="342">
                  <c:v>12815.64</c:v>
                </c:pt>
                <c:pt idx="343">
                  <c:v>12824.475</c:v>
                </c:pt>
                <c:pt idx="344">
                  <c:v>12824.483</c:v>
                </c:pt>
                <c:pt idx="345">
                  <c:v>12825.847</c:v>
                </c:pt>
                <c:pt idx="346">
                  <c:v>12829.852999999999</c:v>
                </c:pt>
                <c:pt idx="347">
                  <c:v>12830.767</c:v>
                </c:pt>
                <c:pt idx="348">
                  <c:v>12834.36</c:v>
                </c:pt>
                <c:pt idx="349">
                  <c:v>12835.061</c:v>
                </c:pt>
                <c:pt idx="350">
                  <c:v>12877.504999999999</c:v>
                </c:pt>
                <c:pt idx="351">
                  <c:v>12888.201999999999</c:v>
                </c:pt>
                <c:pt idx="352">
                  <c:v>12898.733</c:v>
                </c:pt>
                <c:pt idx="353">
                  <c:v>12904.607</c:v>
                </c:pt>
                <c:pt idx="354">
                  <c:v>12920.16</c:v>
                </c:pt>
                <c:pt idx="355">
                  <c:v>12934.394</c:v>
                </c:pt>
                <c:pt idx="356">
                  <c:v>12963.663</c:v>
                </c:pt>
                <c:pt idx="357">
                  <c:v>12982.066999999999</c:v>
                </c:pt>
                <c:pt idx="358">
                  <c:v>12987.885</c:v>
                </c:pt>
                <c:pt idx="359">
                  <c:v>12997.689</c:v>
                </c:pt>
                <c:pt idx="360">
                  <c:v>13005.909</c:v>
                </c:pt>
                <c:pt idx="361">
                  <c:v>13005.915000000001</c:v>
                </c:pt>
                <c:pt idx="362">
                  <c:v>13007.939</c:v>
                </c:pt>
                <c:pt idx="363">
                  <c:v>13018.929</c:v>
                </c:pt>
                <c:pt idx="364">
                  <c:v>13022.605</c:v>
                </c:pt>
                <c:pt idx="365">
                  <c:v>13040.893</c:v>
                </c:pt>
                <c:pt idx="366">
                  <c:v>13044.25</c:v>
                </c:pt>
                <c:pt idx="367">
                  <c:v>13082.248</c:v>
                </c:pt>
                <c:pt idx="368">
                  <c:v>13083.567999999999</c:v>
                </c:pt>
                <c:pt idx="369">
                  <c:v>13086.695</c:v>
                </c:pt>
                <c:pt idx="370">
                  <c:v>13101.290999999999</c:v>
                </c:pt>
                <c:pt idx="371">
                  <c:v>13104.867</c:v>
                </c:pt>
                <c:pt idx="372">
                  <c:v>13111.343000000001</c:v>
                </c:pt>
                <c:pt idx="373">
                  <c:v>13113.223</c:v>
                </c:pt>
                <c:pt idx="374">
                  <c:v>13120.531999999999</c:v>
                </c:pt>
                <c:pt idx="375">
                  <c:v>13125.857</c:v>
                </c:pt>
                <c:pt idx="376">
                  <c:v>13145.491</c:v>
                </c:pt>
                <c:pt idx="377">
                  <c:v>13147.837</c:v>
                </c:pt>
                <c:pt idx="378">
                  <c:v>13164.429</c:v>
                </c:pt>
                <c:pt idx="379">
                  <c:v>13172.237999999999</c:v>
                </c:pt>
                <c:pt idx="380">
                  <c:v>13182.813</c:v>
                </c:pt>
                <c:pt idx="381">
                  <c:v>13184.223</c:v>
                </c:pt>
                <c:pt idx="382">
                  <c:v>13188.819</c:v>
                </c:pt>
                <c:pt idx="383">
                  <c:v>13190.308999999999</c:v>
                </c:pt>
                <c:pt idx="384">
                  <c:v>13200.646000000001</c:v>
                </c:pt>
                <c:pt idx="385">
                  <c:v>13204.743</c:v>
                </c:pt>
                <c:pt idx="386">
                  <c:v>13208.333000000001</c:v>
                </c:pt>
                <c:pt idx="387">
                  <c:v>13210.41</c:v>
                </c:pt>
                <c:pt idx="388">
                  <c:v>13227.101000000001</c:v>
                </c:pt>
                <c:pt idx="389">
                  <c:v>13232.398999999999</c:v>
                </c:pt>
                <c:pt idx="390">
                  <c:v>13259.254999999999</c:v>
                </c:pt>
                <c:pt idx="391">
                  <c:v>13263.112999999999</c:v>
                </c:pt>
                <c:pt idx="392">
                  <c:v>13277.457</c:v>
                </c:pt>
                <c:pt idx="393">
                  <c:v>13282.421</c:v>
                </c:pt>
                <c:pt idx="394">
                  <c:v>13292.214</c:v>
                </c:pt>
                <c:pt idx="395">
                  <c:v>13300.56</c:v>
                </c:pt>
                <c:pt idx="396">
                  <c:v>13313.447</c:v>
                </c:pt>
                <c:pt idx="397">
                  <c:v>13317.982</c:v>
                </c:pt>
                <c:pt idx="398">
                  <c:v>13323.107</c:v>
                </c:pt>
                <c:pt idx="399">
                  <c:v>13325.444</c:v>
                </c:pt>
                <c:pt idx="400">
                  <c:v>13328.33</c:v>
                </c:pt>
                <c:pt idx="401">
                  <c:v>13329.895</c:v>
                </c:pt>
                <c:pt idx="402">
                  <c:v>13330.159</c:v>
                </c:pt>
                <c:pt idx="403">
                  <c:v>13339.596</c:v>
                </c:pt>
                <c:pt idx="404">
                  <c:v>13341.9</c:v>
                </c:pt>
                <c:pt idx="405">
                  <c:v>13343.41</c:v>
                </c:pt>
                <c:pt idx="406">
                  <c:v>13348.252</c:v>
                </c:pt>
                <c:pt idx="407">
                  <c:v>13372.644</c:v>
                </c:pt>
                <c:pt idx="408">
                  <c:v>13376.409</c:v>
                </c:pt>
                <c:pt idx="409">
                  <c:v>13377.253000000001</c:v>
                </c:pt>
                <c:pt idx="410">
                  <c:v>13382.674999999999</c:v>
                </c:pt>
                <c:pt idx="411">
                  <c:v>13386.279</c:v>
                </c:pt>
                <c:pt idx="412">
                  <c:v>13386.439</c:v>
                </c:pt>
                <c:pt idx="413">
                  <c:v>13393.593000000001</c:v>
                </c:pt>
                <c:pt idx="414">
                  <c:v>13394.826999999999</c:v>
                </c:pt>
                <c:pt idx="415">
                  <c:v>13395.173000000001</c:v>
                </c:pt>
                <c:pt idx="416">
                  <c:v>13395.777</c:v>
                </c:pt>
                <c:pt idx="417">
                  <c:v>13398.803</c:v>
                </c:pt>
                <c:pt idx="418">
                  <c:v>13404.644</c:v>
                </c:pt>
                <c:pt idx="419">
                  <c:v>13433.573</c:v>
                </c:pt>
                <c:pt idx="420">
                  <c:v>13436.645</c:v>
                </c:pt>
                <c:pt idx="421">
                  <c:v>13441.851000000001</c:v>
                </c:pt>
                <c:pt idx="422">
                  <c:v>13446.093000000001</c:v>
                </c:pt>
                <c:pt idx="423">
                  <c:v>13446.499</c:v>
                </c:pt>
                <c:pt idx="424">
                  <c:v>13451.144</c:v>
                </c:pt>
                <c:pt idx="425">
                  <c:v>13451.966</c:v>
                </c:pt>
                <c:pt idx="426">
                  <c:v>13453.505999999999</c:v>
                </c:pt>
                <c:pt idx="427">
                  <c:v>13457.795</c:v>
                </c:pt>
                <c:pt idx="428">
                  <c:v>13464.291999999999</c:v>
                </c:pt>
                <c:pt idx="429">
                  <c:v>13464.898999999999</c:v>
                </c:pt>
                <c:pt idx="430">
                  <c:v>13480.195</c:v>
                </c:pt>
                <c:pt idx="431">
                  <c:v>13480.325999999999</c:v>
                </c:pt>
                <c:pt idx="432">
                  <c:v>13481.324000000001</c:v>
                </c:pt>
                <c:pt idx="433">
                  <c:v>13482.441999999999</c:v>
                </c:pt>
                <c:pt idx="434">
                  <c:v>13485.32</c:v>
                </c:pt>
                <c:pt idx="435">
                  <c:v>13488.882</c:v>
                </c:pt>
                <c:pt idx="436">
                  <c:v>13500.161</c:v>
                </c:pt>
                <c:pt idx="437">
                  <c:v>13501.972</c:v>
                </c:pt>
                <c:pt idx="438">
                  <c:v>13510.675999999999</c:v>
                </c:pt>
                <c:pt idx="439">
                  <c:v>13511.562</c:v>
                </c:pt>
                <c:pt idx="440">
                  <c:v>13512.657999999999</c:v>
                </c:pt>
                <c:pt idx="441">
                  <c:v>13522.259</c:v>
                </c:pt>
                <c:pt idx="442">
                  <c:v>13527.37</c:v>
                </c:pt>
                <c:pt idx="443">
                  <c:v>13532.976000000001</c:v>
                </c:pt>
                <c:pt idx="444">
                  <c:v>13533.677</c:v>
                </c:pt>
                <c:pt idx="445">
                  <c:v>13537.263000000001</c:v>
                </c:pt>
                <c:pt idx="446">
                  <c:v>13540.02</c:v>
                </c:pt>
                <c:pt idx="447">
                  <c:v>13543.278</c:v>
                </c:pt>
                <c:pt idx="448">
                  <c:v>13544.449000000001</c:v>
                </c:pt>
                <c:pt idx="449">
                  <c:v>13544.734</c:v>
                </c:pt>
                <c:pt idx="450">
                  <c:v>13552.093999999999</c:v>
                </c:pt>
                <c:pt idx="451">
                  <c:v>13575.35</c:v>
                </c:pt>
                <c:pt idx="452">
                  <c:v>13579.243</c:v>
                </c:pt>
                <c:pt idx="453">
                  <c:v>13581.291999999999</c:v>
                </c:pt>
                <c:pt idx="454">
                  <c:v>13592.626</c:v>
                </c:pt>
                <c:pt idx="455">
                  <c:v>13597.291999999999</c:v>
                </c:pt>
                <c:pt idx="456">
                  <c:v>13598.565000000001</c:v>
                </c:pt>
                <c:pt idx="457">
                  <c:v>13600.001</c:v>
                </c:pt>
                <c:pt idx="458">
                  <c:v>13606.163</c:v>
                </c:pt>
                <c:pt idx="459">
                  <c:v>13607.323</c:v>
                </c:pt>
                <c:pt idx="460">
                  <c:v>13607.352999999999</c:v>
                </c:pt>
                <c:pt idx="461">
                  <c:v>13610.013999999999</c:v>
                </c:pt>
                <c:pt idx="462">
                  <c:v>13620.55</c:v>
                </c:pt>
                <c:pt idx="463">
                  <c:v>13636.172</c:v>
                </c:pt>
                <c:pt idx="464">
                  <c:v>13638.35</c:v>
                </c:pt>
                <c:pt idx="465">
                  <c:v>13653.915999999999</c:v>
                </c:pt>
                <c:pt idx="466">
                  <c:v>13662.46</c:v>
                </c:pt>
                <c:pt idx="467">
                  <c:v>13665.522999999999</c:v>
                </c:pt>
                <c:pt idx="468">
                  <c:v>13680.753000000001</c:v>
                </c:pt>
                <c:pt idx="469">
                  <c:v>13684.563</c:v>
                </c:pt>
                <c:pt idx="470">
                  <c:v>13692.834000000001</c:v>
                </c:pt>
                <c:pt idx="471">
                  <c:v>13709.989</c:v>
                </c:pt>
                <c:pt idx="472">
                  <c:v>13713.004999999999</c:v>
                </c:pt>
                <c:pt idx="473">
                  <c:v>13714.049000000001</c:v>
                </c:pt>
                <c:pt idx="474">
                  <c:v>13717.191000000001</c:v>
                </c:pt>
                <c:pt idx="475">
                  <c:v>13718.061</c:v>
                </c:pt>
                <c:pt idx="476">
                  <c:v>13727.578</c:v>
                </c:pt>
                <c:pt idx="477">
                  <c:v>13742.288</c:v>
                </c:pt>
                <c:pt idx="478">
                  <c:v>13744.003000000001</c:v>
                </c:pt>
                <c:pt idx="479">
                  <c:v>13744.11</c:v>
                </c:pt>
                <c:pt idx="480">
                  <c:v>13763.842000000001</c:v>
                </c:pt>
                <c:pt idx="481">
                  <c:v>13770.76</c:v>
                </c:pt>
                <c:pt idx="482">
                  <c:v>13771.268</c:v>
                </c:pt>
                <c:pt idx="483">
                  <c:v>13789.163</c:v>
                </c:pt>
                <c:pt idx="484">
                  <c:v>13790.116</c:v>
                </c:pt>
                <c:pt idx="485">
                  <c:v>13790.882</c:v>
                </c:pt>
                <c:pt idx="486">
                  <c:v>13793.177</c:v>
                </c:pt>
                <c:pt idx="487">
                  <c:v>13804.867</c:v>
                </c:pt>
                <c:pt idx="488">
                  <c:v>13816.027</c:v>
                </c:pt>
                <c:pt idx="489">
                  <c:v>13818.602000000001</c:v>
                </c:pt>
                <c:pt idx="490">
                  <c:v>13819.703</c:v>
                </c:pt>
                <c:pt idx="491">
                  <c:v>13833.516</c:v>
                </c:pt>
                <c:pt idx="492">
                  <c:v>13834.749</c:v>
                </c:pt>
                <c:pt idx="493">
                  <c:v>13835.694</c:v>
                </c:pt>
                <c:pt idx="494">
                  <c:v>13838.075000000001</c:v>
                </c:pt>
                <c:pt idx="495">
                  <c:v>13838.808000000001</c:v>
                </c:pt>
                <c:pt idx="496">
                  <c:v>13871.127</c:v>
                </c:pt>
                <c:pt idx="497">
                  <c:v>13874.834999999999</c:v>
                </c:pt>
                <c:pt idx="498">
                  <c:v>13905.437</c:v>
                </c:pt>
                <c:pt idx="499">
                  <c:v>13915.754999999999</c:v>
                </c:pt>
                <c:pt idx="500">
                  <c:v>13917.136</c:v>
                </c:pt>
                <c:pt idx="501">
                  <c:v>13927.473</c:v>
                </c:pt>
                <c:pt idx="502">
                  <c:v>13928.281999999999</c:v>
                </c:pt>
                <c:pt idx="503">
                  <c:v>13935.406999999999</c:v>
                </c:pt>
                <c:pt idx="504">
                  <c:v>13944.832</c:v>
                </c:pt>
                <c:pt idx="505">
                  <c:v>13949.394</c:v>
                </c:pt>
                <c:pt idx="506">
                  <c:v>13971.482</c:v>
                </c:pt>
                <c:pt idx="507">
                  <c:v>13975.119000000001</c:v>
                </c:pt>
                <c:pt idx="508">
                  <c:v>13983.606</c:v>
                </c:pt>
                <c:pt idx="509">
                  <c:v>14009.204</c:v>
                </c:pt>
                <c:pt idx="510">
                  <c:v>14011.986000000001</c:v>
                </c:pt>
                <c:pt idx="511">
                  <c:v>14041.137000000001</c:v>
                </c:pt>
                <c:pt idx="512">
                  <c:v>14068.915000000001</c:v>
                </c:pt>
                <c:pt idx="513">
                  <c:v>14102.029</c:v>
                </c:pt>
                <c:pt idx="514">
                  <c:v>14104.397999999999</c:v>
                </c:pt>
                <c:pt idx="515">
                  <c:v>14106.683999999999</c:v>
                </c:pt>
                <c:pt idx="516">
                  <c:v>14111.575999999999</c:v>
                </c:pt>
                <c:pt idx="517">
                  <c:v>14113.544</c:v>
                </c:pt>
                <c:pt idx="518">
                  <c:v>14121.445</c:v>
                </c:pt>
                <c:pt idx="519">
                  <c:v>14158.686</c:v>
                </c:pt>
                <c:pt idx="520">
                  <c:v>14175.526</c:v>
                </c:pt>
                <c:pt idx="521">
                  <c:v>14176.802</c:v>
                </c:pt>
                <c:pt idx="522">
                  <c:v>14187.924999999999</c:v>
                </c:pt>
                <c:pt idx="523">
                  <c:v>14200.424999999999</c:v>
                </c:pt>
                <c:pt idx="524">
                  <c:v>14229.489</c:v>
                </c:pt>
                <c:pt idx="525">
                  <c:v>14229.653</c:v>
                </c:pt>
                <c:pt idx="526">
                  <c:v>14240.563</c:v>
                </c:pt>
                <c:pt idx="527">
                  <c:v>14250.416999999999</c:v>
                </c:pt>
                <c:pt idx="528">
                  <c:v>14266.257</c:v>
                </c:pt>
                <c:pt idx="529">
                  <c:v>14285.103999999999</c:v>
                </c:pt>
                <c:pt idx="530">
                  <c:v>14321.803</c:v>
                </c:pt>
                <c:pt idx="531">
                  <c:v>14321.838</c:v>
                </c:pt>
                <c:pt idx="532">
                  <c:v>14358.088</c:v>
                </c:pt>
                <c:pt idx="533">
                  <c:v>14429.593000000001</c:v>
                </c:pt>
                <c:pt idx="534">
                  <c:v>14453.948</c:v>
                </c:pt>
                <c:pt idx="535">
                  <c:v>14464.554</c:v>
                </c:pt>
                <c:pt idx="536">
                  <c:v>14468.62</c:v>
                </c:pt>
                <c:pt idx="537">
                  <c:v>14474.132</c:v>
                </c:pt>
                <c:pt idx="538">
                  <c:v>14495.945</c:v>
                </c:pt>
                <c:pt idx="539">
                  <c:v>15034.82</c:v>
                </c:pt>
                <c:pt idx="540">
                  <c:v>15584.22696284574</c:v>
                </c:pt>
              </c:numCache>
            </c:numRef>
          </c:xVal>
          <c:yVal>
            <c:numRef>
              <c:f>Extrapolation!$I$12:$I$552</c:f>
              <c:numCache>
                <c:formatCode>General</c:formatCode>
                <c:ptCount val="541"/>
                <c:pt idx="0">
                  <c:v>0.99999896193139703</c:v>
                </c:pt>
                <c:pt idx="1">
                  <c:v>0.99999778587436816</c:v>
                </c:pt>
                <c:pt idx="2">
                  <c:v>0.99999700196021268</c:v>
                </c:pt>
                <c:pt idx="3">
                  <c:v>0.99999343874554258</c:v>
                </c:pt>
                <c:pt idx="4">
                  <c:v>0.99999325001843087</c:v>
                </c:pt>
                <c:pt idx="5">
                  <c:v>0.99999071430635256</c:v>
                </c:pt>
                <c:pt idx="6">
                  <c:v>0.99999065499238671</c:v>
                </c:pt>
                <c:pt idx="7">
                  <c:v>0.99998917532875253</c:v>
                </c:pt>
                <c:pt idx="8">
                  <c:v>0.99998615484746467</c:v>
                </c:pt>
                <c:pt idx="9">
                  <c:v>0.99998209152135697</c:v>
                </c:pt>
                <c:pt idx="10">
                  <c:v>0.99997661798542348</c:v>
                </c:pt>
                <c:pt idx="11">
                  <c:v>0.99997577922780256</c:v>
                </c:pt>
                <c:pt idx="12">
                  <c:v>0.99997053551778314</c:v>
                </c:pt>
                <c:pt idx="13">
                  <c:v>0.99996822257793516</c:v>
                </c:pt>
                <c:pt idx="14">
                  <c:v>0.99993078057714035</c:v>
                </c:pt>
                <c:pt idx="15">
                  <c:v>0.9855639429566736</c:v>
                </c:pt>
                <c:pt idx="16">
                  <c:v>0.98348326596308033</c:v>
                </c:pt>
                <c:pt idx="17">
                  <c:v>0.97859979322518997</c:v>
                </c:pt>
                <c:pt idx="18">
                  <c:v>0.97578200575127239</c:v>
                </c:pt>
                <c:pt idx="19">
                  <c:v>0.97357647974760164</c:v>
                </c:pt>
                <c:pt idx="20">
                  <c:v>0.97248710163579577</c:v>
                </c:pt>
                <c:pt idx="21">
                  <c:v>0.97119450170516453</c:v>
                </c:pt>
                <c:pt idx="22">
                  <c:v>0.97098159166629361</c:v>
                </c:pt>
                <c:pt idx="23">
                  <c:v>0.96905329758524439</c:v>
                </c:pt>
                <c:pt idx="24">
                  <c:v>0.96872915096528556</c:v>
                </c:pt>
                <c:pt idx="25">
                  <c:v>0.96867808132281852</c:v>
                </c:pt>
                <c:pt idx="26">
                  <c:v>0.96811679079303437</c:v>
                </c:pt>
                <c:pt idx="27">
                  <c:v>0.96806727313817542</c:v>
                </c:pt>
                <c:pt idx="28">
                  <c:v>0.96659775741693243</c:v>
                </c:pt>
                <c:pt idx="29">
                  <c:v>0.9654134765418837</c:v>
                </c:pt>
                <c:pt idx="30">
                  <c:v>0.96479979644895408</c:v>
                </c:pt>
                <c:pt idx="31">
                  <c:v>0.96453276102771524</c:v>
                </c:pt>
                <c:pt idx="32">
                  <c:v>0.96366882388591946</c:v>
                </c:pt>
                <c:pt idx="33">
                  <c:v>0.96312579732605308</c:v>
                </c:pt>
                <c:pt idx="34">
                  <c:v>0.96272213427250442</c:v>
                </c:pt>
                <c:pt idx="35">
                  <c:v>0.96263267648674367</c:v>
                </c:pt>
                <c:pt idx="36">
                  <c:v>0.96237581187295951</c:v>
                </c:pt>
                <c:pt idx="37">
                  <c:v>0.9614803206927599</c:v>
                </c:pt>
                <c:pt idx="38">
                  <c:v>0.96106536611517379</c:v>
                </c:pt>
                <c:pt idx="39">
                  <c:v>0.95963553561020865</c:v>
                </c:pt>
                <c:pt idx="40">
                  <c:v>0.95909048127934515</c:v>
                </c:pt>
                <c:pt idx="41">
                  <c:v>0.95672212007054758</c:v>
                </c:pt>
                <c:pt idx="42">
                  <c:v>0.95498672477368796</c:v>
                </c:pt>
                <c:pt idx="43">
                  <c:v>0.95327738229316072</c:v>
                </c:pt>
                <c:pt idx="44">
                  <c:v>0.95295579647863982</c:v>
                </c:pt>
                <c:pt idx="45">
                  <c:v>0.95178270687506183</c:v>
                </c:pt>
                <c:pt idx="46">
                  <c:v>0.95141206762938058</c:v>
                </c:pt>
                <c:pt idx="47">
                  <c:v>0.95131919668391851</c:v>
                </c:pt>
                <c:pt idx="48">
                  <c:v>0.95114913293313186</c:v>
                </c:pt>
                <c:pt idx="49">
                  <c:v>0.95084074530422635</c:v>
                </c:pt>
                <c:pt idx="50">
                  <c:v>0.95034369465991497</c:v>
                </c:pt>
                <c:pt idx="51">
                  <c:v>0.95012601331445801</c:v>
                </c:pt>
                <c:pt idx="52">
                  <c:v>0.9494997153362168</c:v>
                </c:pt>
                <c:pt idx="53">
                  <c:v>0.94949762470584897</c:v>
                </c:pt>
                <c:pt idx="54">
                  <c:v>0.94926905825161556</c:v>
                </c:pt>
                <c:pt idx="55">
                  <c:v>0.94731851342003404</c:v>
                </c:pt>
                <c:pt idx="56">
                  <c:v>0.94601301950841277</c:v>
                </c:pt>
                <c:pt idx="57">
                  <c:v>0.94476417633190291</c:v>
                </c:pt>
                <c:pt idx="58">
                  <c:v>0.94434024429497132</c:v>
                </c:pt>
                <c:pt idx="59">
                  <c:v>0.94419065472280705</c:v>
                </c:pt>
                <c:pt idx="60">
                  <c:v>0.94350598041582345</c:v>
                </c:pt>
                <c:pt idx="61">
                  <c:v>0.94293960888319106</c:v>
                </c:pt>
                <c:pt idx="62">
                  <c:v>0.94258334476697558</c:v>
                </c:pt>
                <c:pt idx="63">
                  <c:v>0.94066527753622309</c:v>
                </c:pt>
                <c:pt idx="64">
                  <c:v>0.94023214800365718</c:v>
                </c:pt>
                <c:pt idx="65">
                  <c:v>0.9400366199450183</c:v>
                </c:pt>
                <c:pt idx="66">
                  <c:v>0.93988685410737094</c:v>
                </c:pt>
                <c:pt idx="67">
                  <c:v>0.93957792079897529</c:v>
                </c:pt>
                <c:pt idx="68">
                  <c:v>0.93957444534593237</c:v>
                </c:pt>
                <c:pt idx="69">
                  <c:v>0.93951092308379291</c:v>
                </c:pt>
                <c:pt idx="70">
                  <c:v>0.93921005430743842</c:v>
                </c:pt>
                <c:pt idx="71">
                  <c:v>0.93914064214523296</c:v>
                </c:pt>
                <c:pt idx="72">
                  <c:v>0.93752505920256501</c:v>
                </c:pt>
                <c:pt idx="73">
                  <c:v>0.93733253501482972</c:v>
                </c:pt>
                <c:pt idx="74">
                  <c:v>0.93715133459075661</c:v>
                </c:pt>
                <c:pt idx="75">
                  <c:v>0.93710890480659859</c:v>
                </c:pt>
                <c:pt idx="76">
                  <c:v>0.93498050437532565</c:v>
                </c:pt>
                <c:pt idx="77">
                  <c:v>0.93463063867394969</c:v>
                </c:pt>
                <c:pt idx="78">
                  <c:v>0.9342069247772502</c:v>
                </c:pt>
                <c:pt idx="79">
                  <c:v>0.93315847607023439</c:v>
                </c:pt>
                <c:pt idx="80">
                  <c:v>0.93292618485196288</c:v>
                </c:pt>
                <c:pt idx="81">
                  <c:v>0.93261739508189301</c:v>
                </c:pt>
                <c:pt idx="82">
                  <c:v>0.93232976369258702</c:v>
                </c:pt>
                <c:pt idx="83">
                  <c:v>0.93146823507438659</c:v>
                </c:pt>
                <c:pt idx="84">
                  <c:v>0.93094493708060533</c:v>
                </c:pt>
                <c:pt idx="85">
                  <c:v>0.93032863919340547</c:v>
                </c:pt>
                <c:pt idx="86">
                  <c:v>0.92937430305503288</c:v>
                </c:pt>
                <c:pt idx="87">
                  <c:v>0.92817753765710631</c:v>
                </c:pt>
                <c:pt idx="88">
                  <c:v>0.92807255990656701</c:v>
                </c:pt>
                <c:pt idx="89">
                  <c:v>0.92707885388151146</c:v>
                </c:pt>
                <c:pt idx="90">
                  <c:v>0.92676172742177487</c:v>
                </c:pt>
                <c:pt idx="91">
                  <c:v>0.92636457662627691</c:v>
                </c:pt>
                <c:pt idx="92">
                  <c:v>0.92525721228625546</c:v>
                </c:pt>
                <c:pt idx="93">
                  <c:v>0.92502244986684923</c:v>
                </c:pt>
                <c:pt idx="94">
                  <c:v>0.92476877541802438</c:v>
                </c:pt>
                <c:pt idx="95">
                  <c:v>0.92425166047359386</c:v>
                </c:pt>
                <c:pt idx="96">
                  <c:v>0.92333526230018825</c:v>
                </c:pt>
                <c:pt idx="97">
                  <c:v>0.92228222365189172</c:v>
                </c:pt>
                <c:pt idx="98">
                  <c:v>0.92219213889812857</c:v>
                </c:pt>
                <c:pt idx="99">
                  <c:v>0.92172632484473105</c:v>
                </c:pt>
                <c:pt idx="100">
                  <c:v>0.91998987939426624</c:v>
                </c:pt>
                <c:pt idx="101">
                  <c:v>0.91986023907231274</c:v>
                </c:pt>
                <c:pt idx="102">
                  <c:v>0.91972276326241575</c:v>
                </c:pt>
                <c:pt idx="103">
                  <c:v>0.91902915738991842</c:v>
                </c:pt>
                <c:pt idx="104">
                  <c:v>0.91883161840012928</c:v>
                </c:pt>
                <c:pt idx="105">
                  <c:v>0.91882543842606712</c:v>
                </c:pt>
                <c:pt idx="106">
                  <c:v>0.91754981245357548</c:v>
                </c:pt>
                <c:pt idx="107">
                  <c:v>0.91744893926815507</c:v>
                </c:pt>
                <c:pt idx="108">
                  <c:v>0.91651001695353973</c:v>
                </c:pt>
                <c:pt idx="109">
                  <c:v>0.91644901198556372</c:v>
                </c:pt>
                <c:pt idx="110">
                  <c:v>0.91620527839669663</c:v>
                </c:pt>
                <c:pt idx="111">
                  <c:v>0.9159974396157986</c:v>
                </c:pt>
                <c:pt idx="112">
                  <c:v>0.91550643853044456</c:v>
                </c:pt>
                <c:pt idx="113">
                  <c:v>0.91405973484535652</c:v>
                </c:pt>
                <c:pt idx="114">
                  <c:v>0.91402211850619675</c:v>
                </c:pt>
                <c:pt idx="115">
                  <c:v>0.91391987723745727</c:v>
                </c:pt>
                <c:pt idx="116">
                  <c:v>0.91379110980497902</c:v>
                </c:pt>
                <c:pt idx="117">
                  <c:v>0.91368757718071425</c:v>
                </c:pt>
                <c:pt idx="118">
                  <c:v>0.91359921402531441</c:v>
                </c:pt>
                <c:pt idx="119">
                  <c:v>0.91112025837253152</c:v>
                </c:pt>
                <c:pt idx="120">
                  <c:v>0.90915541157364144</c:v>
                </c:pt>
                <c:pt idx="121">
                  <c:v>0.90804752175202263</c:v>
                </c:pt>
                <c:pt idx="122">
                  <c:v>0.90627297555105879</c:v>
                </c:pt>
                <c:pt idx="123">
                  <c:v>0.90515654758482356</c:v>
                </c:pt>
                <c:pt idx="124">
                  <c:v>0.90488006559158485</c:v>
                </c:pt>
                <c:pt idx="125">
                  <c:v>0.90470336146061026</c:v>
                </c:pt>
                <c:pt idx="126">
                  <c:v>0.90394284644635448</c:v>
                </c:pt>
                <c:pt idx="127">
                  <c:v>0.90343224087441698</c:v>
                </c:pt>
                <c:pt idx="128">
                  <c:v>0.90296783432353689</c:v>
                </c:pt>
                <c:pt idx="129">
                  <c:v>0.90281544336014818</c:v>
                </c:pt>
                <c:pt idx="130">
                  <c:v>0.90258899107659651</c:v>
                </c:pt>
                <c:pt idx="131">
                  <c:v>0.90250588172801105</c:v>
                </c:pt>
                <c:pt idx="132">
                  <c:v>0.90238571080130436</c:v>
                </c:pt>
                <c:pt idx="133">
                  <c:v>0.90217243258417312</c:v>
                </c:pt>
                <c:pt idx="134">
                  <c:v>0.90114928246331771</c:v>
                </c:pt>
                <c:pt idx="135">
                  <c:v>0.90009584590731639</c:v>
                </c:pt>
                <c:pt idx="136">
                  <c:v>0.8991460937483422</c:v>
                </c:pt>
                <c:pt idx="137">
                  <c:v>0.89783605755756501</c:v>
                </c:pt>
                <c:pt idx="138">
                  <c:v>0.89753678809079751</c:v>
                </c:pt>
                <c:pt idx="139">
                  <c:v>0.89716882808566423</c:v>
                </c:pt>
                <c:pt idx="140">
                  <c:v>0.89477120264521448</c:v>
                </c:pt>
                <c:pt idx="141">
                  <c:v>0.894629559802948</c:v>
                </c:pt>
                <c:pt idx="142">
                  <c:v>0.89413758912864094</c:v>
                </c:pt>
                <c:pt idx="143">
                  <c:v>0.89389790742993802</c:v>
                </c:pt>
                <c:pt idx="144">
                  <c:v>0.89216241318393152</c:v>
                </c:pt>
                <c:pt idx="145">
                  <c:v>0.89141703317595833</c:v>
                </c:pt>
                <c:pt idx="146">
                  <c:v>0.8880668391437383</c:v>
                </c:pt>
                <c:pt idx="147">
                  <c:v>0.88785015025696479</c:v>
                </c:pt>
                <c:pt idx="148">
                  <c:v>0.88768358055460239</c:v>
                </c:pt>
                <c:pt idx="149">
                  <c:v>0.88756849910312441</c:v>
                </c:pt>
                <c:pt idx="150">
                  <c:v>0.88621174407993097</c:v>
                </c:pt>
                <c:pt idx="151">
                  <c:v>0.88604470517020584</c:v>
                </c:pt>
                <c:pt idx="152">
                  <c:v>0.88543862324736511</c:v>
                </c:pt>
                <c:pt idx="153">
                  <c:v>0.88422457470063565</c:v>
                </c:pt>
                <c:pt idx="154">
                  <c:v>0.88095304677772457</c:v>
                </c:pt>
                <c:pt idx="155">
                  <c:v>0.88009411158687478</c:v>
                </c:pt>
                <c:pt idx="156">
                  <c:v>0.87880526983804041</c:v>
                </c:pt>
                <c:pt idx="157">
                  <c:v>0.87636614441177907</c:v>
                </c:pt>
                <c:pt idx="158">
                  <c:v>0.87511406827301796</c:v>
                </c:pt>
                <c:pt idx="159">
                  <c:v>0.8733829076002837</c:v>
                </c:pt>
                <c:pt idx="160">
                  <c:v>0.87226605625825582</c:v>
                </c:pt>
                <c:pt idx="161">
                  <c:v>0.8714675600897126</c:v>
                </c:pt>
                <c:pt idx="162">
                  <c:v>0.87093506811763621</c:v>
                </c:pt>
                <c:pt idx="163">
                  <c:v>0.87054681493965325</c:v>
                </c:pt>
                <c:pt idx="164">
                  <c:v>0.87026074295214662</c:v>
                </c:pt>
                <c:pt idx="165">
                  <c:v>0.86988874224603863</c:v>
                </c:pt>
                <c:pt idx="166">
                  <c:v>0.8657797908243321</c:v>
                </c:pt>
                <c:pt idx="167">
                  <c:v>0.86548716940065384</c:v>
                </c:pt>
                <c:pt idx="168">
                  <c:v>0.85973328481682432</c:v>
                </c:pt>
                <c:pt idx="169">
                  <c:v>0.859477703605391</c:v>
                </c:pt>
                <c:pt idx="170">
                  <c:v>0.85774674984109966</c:v>
                </c:pt>
                <c:pt idx="171">
                  <c:v>0.85762278381207679</c:v>
                </c:pt>
                <c:pt idx="172">
                  <c:v>0.85762044734536058</c:v>
                </c:pt>
                <c:pt idx="173">
                  <c:v>0.85615616952009332</c:v>
                </c:pt>
                <c:pt idx="174">
                  <c:v>0.85597133777763945</c:v>
                </c:pt>
                <c:pt idx="175">
                  <c:v>0.85560107379616257</c:v>
                </c:pt>
                <c:pt idx="176">
                  <c:v>0.85031225901250196</c:v>
                </c:pt>
                <c:pt idx="177">
                  <c:v>0.84989260745021544</c:v>
                </c:pt>
                <c:pt idx="178">
                  <c:v>0.84678482397785437</c:v>
                </c:pt>
                <c:pt idx="179">
                  <c:v>0.84620510671733584</c:v>
                </c:pt>
                <c:pt idx="180">
                  <c:v>0.84563433029562163</c:v>
                </c:pt>
                <c:pt idx="181">
                  <c:v>0.84452753051441076</c:v>
                </c:pt>
                <c:pt idx="182">
                  <c:v>0.84340828086025865</c:v>
                </c:pt>
                <c:pt idx="183">
                  <c:v>0.84317551952833769</c:v>
                </c:pt>
                <c:pt idx="184">
                  <c:v>0.8429684220742939</c:v>
                </c:pt>
                <c:pt idx="185">
                  <c:v>0.8426925241219646</c:v>
                </c:pt>
                <c:pt idx="186">
                  <c:v>0.84205032971790827</c:v>
                </c:pt>
                <c:pt idx="187">
                  <c:v>0.83859928010520302</c:v>
                </c:pt>
                <c:pt idx="188">
                  <c:v>0.83817783639320276</c:v>
                </c:pt>
                <c:pt idx="189">
                  <c:v>0.8367650215493998</c:v>
                </c:pt>
                <c:pt idx="190">
                  <c:v>0.83645568915985025</c:v>
                </c:pt>
                <c:pt idx="191">
                  <c:v>0.83444603088627733</c:v>
                </c:pt>
                <c:pt idx="192">
                  <c:v>0.83409917435222269</c:v>
                </c:pt>
                <c:pt idx="193">
                  <c:v>0.83271252943599339</c:v>
                </c:pt>
                <c:pt idx="194">
                  <c:v>0.83217454057617812</c:v>
                </c:pt>
                <c:pt idx="195">
                  <c:v>0.8306101910883904</c:v>
                </c:pt>
                <c:pt idx="196">
                  <c:v>0.82923702408961164</c:v>
                </c:pt>
                <c:pt idx="197">
                  <c:v>0.82757370645050699</c:v>
                </c:pt>
                <c:pt idx="198">
                  <c:v>0.82356612002728247</c:v>
                </c:pt>
                <c:pt idx="199">
                  <c:v>0.8220819278464524</c:v>
                </c:pt>
                <c:pt idx="200">
                  <c:v>0.82062262100544647</c:v>
                </c:pt>
                <c:pt idx="201">
                  <c:v>0.81835436484039248</c:v>
                </c:pt>
                <c:pt idx="202">
                  <c:v>0.81706987653815388</c:v>
                </c:pt>
                <c:pt idx="203">
                  <c:v>0.81479965590126102</c:v>
                </c:pt>
                <c:pt idx="204">
                  <c:v>0.81328103599594193</c:v>
                </c:pt>
                <c:pt idx="205">
                  <c:v>0.81055293757492486</c:v>
                </c:pt>
                <c:pt idx="206">
                  <c:v>0.8104964924522815</c:v>
                </c:pt>
                <c:pt idx="207">
                  <c:v>0.80974503068264969</c:v>
                </c:pt>
                <c:pt idx="208">
                  <c:v>0.80481891832391694</c:v>
                </c:pt>
                <c:pt idx="209">
                  <c:v>0.80463610462659951</c:v>
                </c:pt>
                <c:pt idx="210">
                  <c:v>0.80404148047849677</c:v>
                </c:pt>
                <c:pt idx="211">
                  <c:v>0.80299352851915717</c:v>
                </c:pt>
                <c:pt idx="212">
                  <c:v>0.80171105137998422</c:v>
                </c:pt>
                <c:pt idx="213">
                  <c:v>0.80132290665578221</c:v>
                </c:pt>
                <c:pt idx="214">
                  <c:v>0.80115072910849361</c:v>
                </c:pt>
                <c:pt idx="215">
                  <c:v>0.80106672572771753</c:v>
                </c:pt>
                <c:pt idx="216">
                  <c:v>0.79991766300840672</c:v>
                </c:pt>
                <c:pt idx="217">
                  <c:v>0.79980446445896325</c:v>
                </c:pt>
                <c:pt idx="218">
                  <c:v>0.79909247763723923</c:v>
                </c:pt>
                <c:pt idx="219">
                  <c:v>0.7985814873380439</c:v>
                </c:pt>
                <c:pt idx="220">
                  <c:v>0.79803473286139426</c:v>
                </c:pt>
                <c:pt idx="221">
                  <c:v>0.79750360209894178</c:v>
                </c:pt>
                <c:pt idx="222">
                  <c:v>0.79746303236122951</c:v>
                </c:pt>
                <c:pt idx="223">
                  <c:v>0.79642788729243386</c:v>
                </c:pt>
                <c:pt idx="224">
                  <c:v>0.79609864194917035</c:v>
                </c:pt>
                <c:pt idx="225">
                  <c:v>0.79574553121219516</c:v>
                </c:pt>
                <c:pt idx="226">
                  <c:v>0.79448930901075221</c:v>
                </c:pt>
                <c:pt idx="227">
                  <c:v>0.79316937352475958</c:v>
                </c:pt>
                <c:pt idx="228">
                  <c:v>0.79236798031436395</c:v>
                </c:pt>
                <c:pt idx="229">
                  <c:v>0.79162798358016562</c:v>
                </c:pt>
                <c:pt idx="230">
                  <c:v>0.79026764532697424</c:v>
                </c:pt>
                <c:pt idx="231">
                  <c:v>0.78951828739720309</c:v>
                </c:pt>
                <c:pt idx="232">
                  <c:v>0.78923623960312106</c:v>
                </c:pt>
                <c:pt idx="233">
                  <c:v>0.78704907826456794</c:v>
                </c:pt>
                <c:pt idx="234">
                  <c:v>0.78438496435752758</c:v>
                </c:pt>
                <c:pt idx="235">
                  <c:v>0.7837281478214837</c:v>
                </c:pt>
                <c:pt idx="236">
                  <c:v>0.78372738934489272</c:v>
                </c:pt>
                <c:pt idx="237">
                  <c:v>0.78327547353001759</c:v>
                </c:pt>
                <c:pt idx="238">
                  <c:v>0.78316706608727737</c:v>
                </c:pt>
                <c:pt idx="239">
                  <c:v>0.78134468082981756</c:v>
                </c:pt>
                <c:pt idx="240">
                  <c:v>0.77626336994943568</c:v>
                </c:pt>
                <c:pt idx="241">
                  <c:v>0.77559882125567992</c:v>
                </c:pt>
                <c:pt idx="242">
                  <c:v>0.77396962025327143</c:v>
                </c:pt>
                <c:pt idx="243">
                  <c:v>0.77224523874763507</c:v>
                </c:pt>
                <c:pt idx="244">
                  <c:v>0.77221865502521447</c:v>
                </c:pt>
                <c:pt idx="245">
                  <c:v>0.77146621393695447</c:v>
                </c:pt>
                <c:pt idx="246">
                  <c:v>0.76964643633936103</c:v>
                </c:pt>
                <c:pt idx="247">
                  <c:v>0.76956146326041652</c:v>
                </c:pt>
                <c:pt idx="248">
                  <c:v>0.76923940923676914</c:v>
                </c:pt>
                <c:pt idx="249">
                  <c:v>0.76921415111559654</c:v>
                </c:pt>
                <c:pt idx="250">
                  <c:v>0.76779229675952987</c:v>
                </c:pt>
                <c:pt idx="251">
                  <c:v>0.76676874957773189</c:v>
                </c:pt>
                <c:pt idx="252">
                  <c:v>0.763409752259403</c:v>
                </c:pt>
                <c:pt idx="253">
                  <c:v>0.75863136713483614</c:v>
                </c:pt>
                <c:pt idx="254">
                  <c:v>0.75537727399012344</c:v>
                </c:pt>
                <c:pt idx="255">
                  <c:v>0.7485955476282109</c:v>
                </c:pt>
                <c:pt idx="256">
                  <c:v>0.74750374308775469</c:v>
                </c:pt>
                <c:pt idx="257">
                  <c:v>0.74747300096521596</c:v>
                </c:pt>
                <c:pt idx="258">
                  <c:v>0.74701210377417471</c:v>
                </c:pt>
                <c:pt idx="259">
                  <c:v>0.74650833160873875</c:v>
                </c:pt>
                <c:pt idx="260">
                  <c:v>0.74544986571041816</c:v>
                </c:pt>
                <c:pt idx="261">
                  <c:v>0.74453256808969825</c:v>
                </c:pt>
                <c:pt idx="262">
                  <c:v>0.74391698711228482</c:v>
                </c:pt>
                <c:pt idx="263">
                  <c:v>0.74389167358086039</c:v>
                </c:pt>
                <c:pt idx="264">
                  <c:v>0.74282855725712793</c:v>
                </c:pt>
                <c:pt idx="265">
                  <c:v>0.74000551128446712</c:v>
                </c:pt>
                <c:pt idx="266">
                  <c:v>0.73837390778580492</c:v>
                </c:pt>
                <c:pt idx="267">
                  <c:v>0.73384131444066003</c:v>
                </c:pt>
                <c:pt idx="268">
                  <c:v>0.73259916040366202</c:v>
                </c:pt>
                <c:pt idx="269">
                  <c:v>0.73139448682052555</c:v>
                </c:pt>
                <c:pt idx="270">
                  <c:v>0.73026446339465079</c:v>
                </c:pt>
                <c:pt idx="271">
                  <c:v>0.72907132173566847</c:v>
                </c:pt>
                <c:pt idx="272">
                  <c:v>0.7273087617822076</c:v>
                </c:pt>
                <c:pt idx="273">
                  <c:v>0.72642784046705122</c:v>
                </c:pt>
                <c:pt idx="274">
                  <c:v>0.72601335886668572</c:v>
                </c:pt>
                <c:pt idx="275">
                  <c:v>0.72536262635768245</c:v>
                </c:pt>
                <c:pt idx="276">
                  <c:v>0.72109047710562957</c:v>
                </c:pt>
                <c:pt idx="277">
                  <c:v>0.71800370544583469</c:v>
                </c:pt>
                <c:pt idx="278">
                  <c:v>0.71569235612260707</c:v>
                </c:pt>
                <c:pt idx="279">
                  <c:v>0.71391290632980853</c:v>
                </c:pt>
                <c:pt idx="280">
                  <c:v>0.71001092728134796</c:v>
                </c:pt>
                <c:pt idx="281">
                  <c:v>0.70955549036918741</c:v>
                </c:pt>
                <c:pt idx="282">
                  <c:v>0.69800873265594754</c:v>
                </c:pt>
                <c:pt idx="283">
                  <c:v>0.69672054355872304</c:v>
                </c:pt>
                <c:pt idx="284">
                  <c:v>0.69353879191958989</c:v>
                </c:pt>
                <c:pt idx="285">
                  <c:v>0.69234445972395531</c:v>
                </c:pt>
                <c:pt idx="286">
                  <c:v>0.68656199610071333</c:v>
                </c:pt>
                <c:pt idx="287">
                  <c:v>0.68505801957012757</c:v>
                </c:pt>
                <c:pt idx="288">
                  <c:v>0.68127745182255828</c:v>
                </c:pt>
                <c:pt idx="289">
                  <c:v>0.67903768063149106</c:v>
                </c:pt>
                <c:pt idx="290">
                  <c:v>0.67737374199357336</c:v>
                </c:pt>
                <c:pt idx="291">
                  <c:v>0.6757298957737834</c:v>
                </c:pt>
                <c:pt idx="292">
                  <c:v>0.67314866995653211</c:v>
                </c:pt>
                <c:pt idx="293">
                  <c:v>0.66621488250535366</c:v>
                </c:pt>
                <c:pt idx="294">
                  <c:v>0.66452449115726842</c:v>
                </c:pt>
                <c:pt idx="295">
                  <c:v>0.66288537958838778</c:v>
                </c:pt>
                <c:pt idx="296">
                  <c:v>0.6622274476578518</c:v>
                </c:pt>
                <c:pt idx="297">
                  <c:v>0.66125578154242104</c:v>
                </c:pt>
                <c:pt idx="298">
                  <c:v>0.66087235021686741</c:v>
                </c:pt>
                <c:pt idx="299">
                  <c:v>0.66047883275836761</c:v>
                </c:pt>
                <c:pt idx="300">
                  <c:v>0.65708824393974907</c:v>
                </c:pt>
                <c:pt idx="301">
                  <c:v>0.65043836722517545</c:v>
                </c:pt>
                <c:pt idx="302">
                  <c:v>0.64922463717733314</c:v>
                </c:pt>
                <c:pt idx="303">
                  <c:v>0.64906620720243002</c:v>
                </c:pt>
                <c:pt idx="304">
                  <c:v>0.64715723786927215</c:v>
                </c:pt>
                <c:pt idx="305">
                  <c:v>0.6451031250427266</c:v>
                </c:pt>
                <c:pt idx="306">
                  <c:v>0.64074657181603489</c:v>
                </c:pt>
                <c:pt idx="307">
                  <c:v>0.63559178568149477</c:v>
                </c:pt>
                <c:pt idx="308">
                  <c:v>0.63404111320213086</c:v>
                </c:pt>
                <c:pt idx="309">
                  <c:v>0.63361259983686902</c:v>
                </c:pt>
                <c:pt idx="310">
                  <c:v>0.62961072255076345</c:v>
                </c:pt>
                <c:pt idx="311">
                  <c:v>0.62523358117739702</c:v>
                </c:pt>
                <c:pt idx="312">
                  <c:v>0.62358085764165816</c:v>
                </c:pt>
                <c:pt idx="313">
                  <c:v>0.62351253859048361</c:v>
                </c:pt>
                <c:pt idx="314">
                  <c:v>0.61932525662533122</c:v>
                </c:pt>
                <c:pt idx="315">
                  <c:v>0.61565829387862758</c:v>
                </c:pt>
                <c:pt idx="316">
                  <c:v>0.61553055764064613</c:v>
                </c:pt>
                <c:pt idx="317">
                  <c:v>0.60940901575676465</c:v>
                </c:pt>
                <c:pt idx="318">
                  <c:v>0.60847396923965147</c:v>
                </c:pt>
                <c:pt idx="319">
                  <c:v>0.60473188900114128</c:v>
                </c:pt>
                <c:pt idx="320">
                  <c:v>0.60380131468150966</c:v>
                </c:pt>
                <c:pt idx="321">
                  <c:v>0.60054781856815598</c:v>
                </c:pt>
                <c:pt idx="322">
                  <c:v>0.60047983994814125</c:v>
                </c:pt>
                <c:pt idx="323">
                  <c:v>0.59557134500270359</c:v>
                </c:pt>
                <c:pt idx="324">
                  <c:v>0.58788486511957372</c:v>
                </c:pt>
                <c:pt idx="325">
                  <c:v>0.58680344782170724</c:v>
                </c:pt>
                <c:pt idx="326">
                  <c:v>0.58197772042847695</c:v>
                </c:pt>
                <c:pt idx="327">
                  <c:v>0.57456425529981792</c:v>
                </c:pt>
                <c:pt idx="328">
                  <c:v>0.57180119417262842</c:v>
                </c:pt>
                <c:pt idx="329">
                  <c:v>0.56729000475923663</c:v>
                </c:pt>
                <c:pt idx="330">
                  <c:v>0.56017606892561189</c:v>
                </c:pt>
                <c:pt idx="331">
                  <c:v>0.55819057288575058</c:v>
                </c:pt>
                <c:pt idx="332">
                  <c:v>0.54996335621197245</c:v>
                </c:pt>
                <c:pt idx="333">
                  <c:v>0.54245265698717771</c:v>
                </c:pt>
                <c:pt idx="334">
                  <c:v>0.54146224030076084</c:v>
                </c:pt>
                <c:pt idx="335">
                  <c:v>0.53976798256185976</c:v>
                </c:pt>
                <c:pt idx="336">
                  <c:v>0.52589586383891773</c:v>
                </c:pt>
                <c:pt idx="337">
                  <c:v>0.52184620872741916</c:v>
                </c:pt>
                <c:pt idx="338">
                  <c:v>0.52062173691717117</c:v>
                </c:pt>
                <c:pt idx="339">
                  <c:v>0.5159240341315372</c:v>
                </c:pt>
                <c:pt idx="340">
                  <c:v>0.5158783131254645</c:v>
                </c:pt>
                <c:pt idx="341">
                  <c:v>0.51350319849341641</c:v>
                </c:pt>
                <c:pt idx="342">
                  <c:v>0.51171757445664146</c:v>
                </c:pt>
                <c:pt idx="343">
                  <c:v>0.50795965496912798</c:v>
                </c:pt>
                <c:pt idx="344">
                  <c:v>0.50795624737432798</c:v>
                </c:pt>
                <c:pt idx="345">
                  <c:v>0.50737512577914123</c:v>
                </c:pt>
                <c:pt idx="346">
                  <c:v>0.5056669523258478</c:v>
                </c:pt>
                <c:pt idx="347">
                  <c:v>0.50527691848548184</c:v>
                </c:pt>
                <c:pt idx="348">
                  <c:v>0.50374259360059426</c:v>
                </c:pt>
                <c:pt idx="349">
                  <c:v>0.50344304589130084</c:v>
                </c:pt>
                <c:pt idx="350">
                  <c:v>0.48519143133629278</c:v>
                </c:pt>
                <c:pt idx="351">
                  <c:v>0.48055819370026942</c:v>
                </c:pt>
                <c:pt idx="352">
                  <c:v>0.47598481422989597</c:v>
                </c:pt>
                <c:pt idx="353">
                  <c:v>0.47342887910907994</c:v>
                </c:pt>
                <c:pt idx="354">
                  <c:v>0.46664494874335227</c:v>
                </c:pt>
                <c:pt idx="355">
                  <c:v>0.46041669753948167</c:v>
                </c:pt>
                <c:pt idx="356">
                  <c:v>0.44755696718874105</c:v>
                </c:pt>
                <c:pt idx="357">
                  <c:v>0.43943923577835653</c:v>
                </c:pt>
                <c:pt idx="358">
                  <c:v>0.43686857581615229</c:v>
                </c:pt>
                <c:pt idx="359">
                  <c:v>0.43253237577312864</c:v>
                </c:pt>
                <c:pt idx="360">
                  <c:v>0.42889288350682819</c:v>
                </c:pt>
                <c:pt idx="361">
                  <c:v>0.42889022573319008</c:v>
                </c:pt>
                <c:pt idx="362">
                  <c:v>0.42799357327011123</c:v>
                </c:pt>
                <c:pt idx="363">
                  <c:v>0.42312169544765388</c:v>
                </c:pt>
                <c:pt idx="364">
                  <c:v>0.42149100040808896</c:v>
                </c:pt>
                <c:pt idx="365">
                  <c:v>0.41337124245601514</c:v>
                </c:pt>
                <c:pt idx="366">
                  <c:v>0.41187964837036523</c:v>
                </c:pt>
                <c:pt idx="367">
                  <c:v>0.39498145234738713</c:v>
                </c:pt>
                <c:pt idx="368">
                  <c:v>0.39439416289071222</c:v>
                </c:pt>
                <c:pt idx="369">
                  <c:v>0.3930028971084516</c:v>
                </c:pt>
                <c:pt idx="370">
                  <c:v>0.38650910717949422</c:v>
                </c:pt>
                <c:pt idx="371">
                  <c:v>0.38491834641879619</c:v>
                </c:pt>
                <c:pt idx="372">
                  <c:v>0.38203791393261938</c:v>
                </c:pt>
                <c:pt idx="373">
                  <c:v>0.38120182661993696</c:v>
                </c:pt>
                <c:pt idx="374">
                  <c:v>0.37795189428370057</c:v>
                </c:pt>
                <c:pt idx="375">
                  <c:v>0.3755848262646837</c:v>
                </c:pt>
                <c:pt idx="376">
                  <c:v>0.3668637638287881</c:v>
                </c:pt>
                <c:pt idx="377">
                  <c:v>0.36582256180576472</c:v>
                </c:pt>
                <c:pt idx="378">
                  <c:v>0.35846516358331709</c:v>
                </c:pt>
                <c:pt idx="379">
                  <c:v>0.35500688578104755</c:v>
                </c:pt>
                <c:pt idx="380">
                  <c:v>0.35032896247105028</c:v>
                </c:pt>
                <c:pt idx="381">
                  <c:v>0.34970573654819576</c:v>
                </c:pt>
                <c:pt idx="382">
                  <c:v>0.3476751475314438</c:v>
                </c:pt>
                <c:pt idx="383">
                  <c:v>0.3470171315640741</c:v>
                </c:pt>
                <c:pt idx="384">
                  <c:v>0.34245623146503884</c:v>
                </c:pt>
                <c:pt idx="385">
                  <c:v>0.34065065654100324</c:v>
                </c:pt>
                <c:pt idx="386">
                  <c:v>0.33906955815587159</c:v>
                </c:pt>
                <c:pt idx="387">
                  <c:v>0.33815526686842995</c:v>
                </c:pt>
                <c:pt idx="388">
                  <c:v>0.33082082673108487</c:v>
                </c:pt>
                <c:pt idx="389">
                  <c:v>0.32849786610995657</c:v>
                </c:pt>
                <c:pt idx="390">
                  <c:v>0.31676521093804277</c:v>
                </c:pt>
                <c:pt idx="391">
                  <c:v>0.3150860853441188</c:v>
                </c:pt>
                <c:pt idx="392">
                  <c:v>0.30885839124130998</c:v>
                </c:pt>
                <c:pt idx="393">
                  <c:v>0.30670904450364617</c:v>
                </c:pt>
                <c:pt idx="394">
                  <c:v>0.30247811570556388</c:v>
                </c:pt>
                <c:pt idx="395">
                  <c:v>0.29888249438752795</c:v>
                </c:pt>
                <c:pt idx="396">
                  <c:v>0.29334983333735304</c:v>
                </c:pt>
                <c:pt idx="397">
                  <c:v>0.29140866979749147</c:v>
                </c:pt>
                <c:pt idx="398">
                  <c:v>0.2892187282841599</c:v>
                </c:pt>
                <c:pt idx="399">
                  <c:v>0.28822146522221581</c:v>
                </c:pt>
                <c:pt idx="400">
                  <c:v>0.28699111339443778</c:v>
                </c:pt>
                <c:pt idx="401">
                  <c:v>0.28632447967064861</c:v>
                </c:pt>
                <c:pt idx="402">
                  <c:v>0.28621206374837771</c:v>
                </c:pt>
                <c:pt idx="403">
                  <c:v>0.28220105280929697</c:v>
                </c:pt>
                <c:pt idx="404">
                  <c:v>0.28122401598928426</c:v>
                </c:pt>
                <c:pt idx="405">
                  <c:v>0.28058416773886208</c:v>
                </c:pt>
                <c:pt idx="406">
                  <c:v>0.27853503104947458</c:v>
                </c:pt>
                <c:pt idx="407">
                  <c:v>0.26827543145079774</c:v>
                </c:pt>
                <c:pt idx="408">
                  <c:v>0.26670159833984108</c:v>
                </c:pt>
                <c:pt idx="409">
                  <c:v>0.2663491635885426</c:v>
                </c:pt>
                <c:pt idx="410">
                  <c:v>0.2640883444660449</c:v>
                </c:pt>
                <c:pt idx="411">
                  <c:v>0.26258875763203948</c:v>
                </c:pt>
                <c:pt idx="412">
                  <c:v>0.26252224275793962</c:v>
                </c:pt>
                <c:pt idx="413">
                  <c:v>0.25955342605387555</c:v>
                </c:pt>
                <c:pt idx="414">
                  <c:v>0.25904237651853657</c:v>
                </c:pt>
                <c:pt idx="415">
                  <c:v>0.25889913955107224</c:v>
                </c:pt>
                <c:pt idx="416">
                  <c:v>0.25864915441939429</c:v>
                </c:pt>
                <c:pt idx="417">
                  <c:v>0.25739787195148978</c:v>
                </c:pt>
                <c:pt idx="418">
                  <c:v>0.2549879235711433</c:v>
                </c:pt>
                <c:pt idx="419">
                  <c:v>0.24316046079101408</c:v>
                </c:pt>
                <c:pt idx="420">
                  <c:v>0.24191549288336242</c:v>
                </c:pt>
                <c:pt idx="421">
                  <c:v>0.23981069134491609</c:v>
                </c:pt>
                <c:pt idx="422">
                  <c:v>0.23810033981834147</c:v>
                </c:pt>
                <c:pt idx="423">
                  <c:v>0.23793686619772447</c:v>
                </c:pt>
                <c:pt idx="424">
                  <c:v>0.2360693838048436</c:v>
                </c:pt>
                <c:pt idx="425">
                  <c:v>0.23573944504382369</c:v>
                </c:pt>
                <c:pt idx="426">
                  <c:v>0.23512175083831574</c:v>
                </c:pt>
                <c:pt idx="427">
                  <c:v>0.23340446901723724</c:v>
                </c:pt>
                <c:pt idx="428">
                  <c:v>0.23081172497240562</c:v>
                </c:pt>
                <c:pt idx="429">
                  <c:v>0.23057002539211116</c:v>
                </c:pt>
                <c:pt idx="430">
                  <c:v>0.22451008805463832</c:v>
                </c:pt>
                <c:pt idx="431">
                  <c:v>0.22445844746980068</c:v>
                </c:pt>
                <c:pt idx="432">
                  <c:v>0.22406517911384727</c:v>
                </c:pt>
                <c:pt idx="433">
                  <c:v>0.2236249314415743</c:v>
                </c:pt>
                <c:pt idx="434">
                  <c:v>0.22249312902848095</c:v>
                </c:pt>
                <c:pt idx="435">
                  <c:v>0.22109534787462162</c:v>
                </c:pt>
                <c:pt idx="436">
                  <c:v>0.21669158017647519</c:v>
                </c:pt>
                <c:pt idx="437">
                  <c:v>0.21598768946698912</c:v>
                </c:pt>
                <c:pt idx="438">
                  <c:v>0.21261719949866367</c:v>
                </c:pt>
                <c:pt idx="439">
                  <c:v>0.21227528345123492</c:v>
                </c:pt>
                <c:pt idx="440">
                  <c:v>0.21185262877758418</c:v>
                </c:pt>
                <c:pt idx="441">
                  <c:v>0.20816457503974733</c:v>
                </c:pt>
                <c:pt idx="442">
                  <c:v>0.20621194792189929</c:v>
                </c:pt>
                <c:pt idx="443">
                  <c:v>0.20407885656795136</c:v>
                </c:pt>
                <c:pt idx="444">
                  <c:v>0.20381276631352188</c:v>
                </c:pt>
                <c:pt idx="445">
                  <c:v>0.20245381312508348</c:v>
                </c:pt>
                <c:pt idx="446">
                  <c:v>0.20141158360047021</c:v>
                </c:pt>
                <c:pt idx="447">
                  <c:v>0.20018285358644305</c:v>
                </c:pt>
                <c:pt idx="448">
                  <c:v>0.19974198893140035</c:v>
                </c:pt>
                <c:pt idx="449">
                  <c:v>0.19963475225509644</c:v>
                </c:pt>
                <c:pt idx="450">
                  <c:v>0.19687382875729484</c:v>
                </c:pt>
                <c:pt idx="451">
                  <c:v>0.18825847404083088</c:v>
                </c:pt>
                <c:pt idx="452">
                  <c:v>0.18683273514462495</c:v>
                </c:pt>
                <c:pt idx="453">
                  <c:v>0.18608425429346487</c:v>
                </c:pt>
                <c:pt idx="454">
                  <c:v>0.18196829220568231</c:v>
                </c:pt>
                <c:pt idx="455">
                  <c:v>0.18028587675596697</c:v>
                </c:pt>
                <c:pt idx="456">
                  <c:v>0.17982810398523433</c:v>
                </c:pt>
                <c:pt idx="457">
                  <c:v>0.17931235239140408</c:v>
                </c:pt>
                <c:pt idx="458">
                  <c:v>0.17710691041203916</c:v>
                </c:pt>
                <c:pt idx="459">
                  <c:v>0.17669313655544697</c:v>
                </c:pt>
                <c:pt idx="460">
                  <c:v>0.17668244142183354</c:v>
                </c:pt>
                <c:pt idx="461">
                  <c:v>0.17573497170132493</c:v>
                </c:pt>
                <c:pt idx="462">
                  <c:v>0.17200678018679116</c:v>
                </c:pt>
                <c:pt idx="463">
                  <c:v>0.16654813672434104</c:v>
                </c:pt>
                <c:pt idx="464">
                  <c:v>0.16579375650177813</c:v>
                </c:pt>
                <c:pt idx="465">
                  <c:v>0.16045040312192818</c:v>
                </c:pt>
                <c:pt idx="466">
                  <c:v>0.15755381259801263</c:v>
                </c:pt>
                <c:pt idx="467">
                  <c:v>0.15652173183923138</c:v>
                </c:pt>
                <c:pt idx="468">
                  <c:v>0.15144017571002621</c:v>
                </c:pt>
                <c:pt idx="469">
                  <c:v>0.15018213684229192</c:v>
                </c:pt>
                <c:pt idx="470">
                  <c:v>0.14746944801972017</c:v>
                </c:pt>
                <c:pt idx="471">
                  <c:v>0.14192393061235578</c:v>
                </c:pt>
                <c:pt idx="472">
                  <c:v>0.14096037344989007</c:v>
                </c:pt>
                <c:pt idx="473">
                  <c:v>0.14062763375792681</c:v>
                </c:pt>
                <c:pt idx="474">
                  <c:v>0.13962871344974143</c:v>
                </c:pt>
                <c:pt idx="475">
                  <c:v>0.13935277947847433</c:v>
                </c:pt>
                <c:pt idx="476">
                  <c:v>0.13635310684644925</c:v>
                </c:pt>
                <c:pt idx="477">
                  <c:v>0.13178489515269137</c:v>
                </c:pt>
                <c:pt idx="478">
                  <c:v>0.13125773361527623</c:v>
                </c:pt>
                <c:pt idx="479">
                  <c:v>0.13122488143261032</c:v>
                </c:pt>
                <c:pt idx="480">
                  <c:v>0.1252428535655366</c:v>
                </c:pt>
                <c:pt idx="481">
                  <c:v>0.12318173082322516</c:v>
                </c:pt>
                <c:pt idx="482">
                  <c:v>0.12303112395306624</c:v>
                </c:pt>
                <c:pt idx="483">
                  <c:v>0.11779116198179305</c:v>
                </c:pt>
                <c:pt idx="484">
                  <c:v>0.1175156872397943</c:v>
                </c:pt>
                <c:pt idx="485">
                  <c:v>0.1172945302926932</c:v>
                </c:pt>
                <c:pt idx="486">
                  <c:v>0.11663333228582029</c:v>
                </c:pt>
                <c:pt idx="487">
                  <c:v>0.113298225570615</c:v>
                </c:pt>
                <c:pt idx="488">
                  <c:v>0.11016575322390046</c:v>
                </c:pt>
                <c:pt idx="489">
                  <c:v>0.10945014543923368</c:v>
                </c:pt>
                <c:pt idx="490">
                  <c:v>0.10914499251368338</c:v>
                </c:pt>
                <c:pt idx="491">
                  <c:v>0.10535850410740315</c:v>
                </c:pt>
                <c:pt idx="492">
                  <c:v>0.10502429132127997</c:v>
                </c:pt>
                <c:pt idx="493">
                  <c:v>0.10476856344231221</c:v>
                </c:pt>
                <c:pt idx="494">
                  <c:v>0.10412585666882969</c:v>
                </c:pt>
                <c:pt idx="495">
                  <c:v>0.10392846386126352</c:v>
                </c:pt>
                <c:pt idx="496">
                  <c:v>9.5444487274209733E-2</c:v>
                </c:pt>
                <c:pt idx="497">
                  <c:v>9.4498633985684727E-2</c:v>
                </c:pt>
                <c:pt idx="498">
                  <c:v>8.6909827618828789E-2</c:v>
                </c:pt>
                <c:pt idx="499">
                  <c:v>8.4438652886253768E-2</c:v>
                </c:pt>
                <c:pt idx="500">
                  <c:v>8.4111253635669125E-2</c:v>
                </c:pt>
                <c:pt idx="501">
                  <c:v>8.1685751408930668E-2</c:v>
                </c:pt>
                <c:pt idx="502">
                  <c:v>8.1497796129424482E-2</c:v>
                </c:pt>
                <c:pt idx="503">
                  <c:v>7.9854166773204033E-2</c:v>
                </c:pt>
                <c:pt idx="504">
                  <c:v>7.7712300178660917E-2</c:v>
                </c:pt>
                <c:pt idx="505">
                  <c:v>7.6688787799843103E-2</c:v>
                </c:pt>
                <c:pt idx="506">
                  <c:v>7.1854943582431621E-2</c:v>
                </c:pt>
                <c:pt idx="507">
                  <c:v>7.1078316193046151E-2</c:v>
                </c:pt>
                <c:pt idx="508">
                  <c:v>6.9287224162627448E-2</c:v>
                </c:pt>
                <c:pt idx="509">
                  <c:v>6.406395836508616E-2</c:v>
                </c:pt>
                <c:pt idx="510">
                  <c:v>6.3512413694379183E-2</c:v>
                </c:pt>
                <c:pt idx="511">
                  <c:v>5.7921642237984489E-2</c:v>
                </c:pt>
                <c:pt idx="512">
                  <c:v>5.2911234313623809E-2</c:v>
                </c:pt>
                <c:pt idx="513">
                  <c:v>4.7335147446483289E-2</c:v>
                </c:pt>
                <c:pt idx="514">
                  <c:v>4.6952520192479773E-2</c:v>
                </c:pt>
                <c:pt idx="515">
                  <c:v>4.6585340128051572E-2</c:v>
                </c:pt>
                <c:pt idx="516">
                  <c:v>4.5806299704998478E-2</c:v>
                </c:pt>
                <c:pt idx="517">
                  <c:v>4.5495476218044707E-2</c:v>
                </c:pt>
                <c:pt idx="518">
                  <c:v>4.4262417382302022E-2</c:v>
                </c:pt>
                <c:pt idx="519">
                  <c:v>3.8765193427769566E-2</c:v>
                </c:pt>
                <c:pt idx="520">
                  <c:v>3.6446373384660197E-2</c:v>
                </c:pt>
                <c:pt idx="521">
                  <c:v>3.627482520622325E-2</c:v>
                </c:pt>
                <c:pt idx="522">
                  <c:v>3.4803924482523278E-2</c:v>
                </c:pt>
                <c:pt idx="523">
                  <c:v>3.3202858646541891E-2</c:v>
                </c:pt>
                <c:pt idx="524">
                  <c:v>2.9687911386206394E-2</c:v>
                </c:pt>
                <c:pt idx="525">
                  <c:v>2.9668886478148825E-2</c:v>
                </c:pt>
                <c:pt idx="526">
                  <c:v>2.8423274495394141E-2</c:v>
                </c:pt>
                <c:pt idx="527">
                  <c:v>2.7331767754279517E-2</c:v>
                </c:pt>
                <c:pt idx="528">
                  <c:v>2.564270025775299E-2</c:v>
                </c:pt>
                <c:pt idx="529">
                  <c:v>2.3735753763173606E-2</c:v>
                </c:pt>
                <c:pt idx="530">
                  <c:v>2.0330444348674735E-2</c:v>
                </c:pt>
                <c:pt idx="531">
                  <c:v>2.0327384604510765E-2</c:v>
                </c:pt>
                <c:pt idx="532">
                  <c:v>1.7341980735435719E-2</c:v>
                </c:pt>
                <c:pt idx="533">
                  <c:v>1.2452424869795517E-2</c:v>
                </c:pt>
                <c:pt idx="534">
                  <c:v>1.1061230937496631E-2</c:v>
                </c:pt>
                <c:pt idx="535">
                  <c:v>1.0495294409399681E-2</c:v>
                </c:pt>
                <c:pt idx="536">
                  <c:v>1.0284536854282371E-2</c:v>
                </c:pt>
                <c:pt idx="537">
                  <c:v>1.000422033233099E-2</c:v>
                </c:pt>
                <c:pt idx="538">
                  <c:v>8.954093190626889E-3</c:v>
                </c:pt>
                <c:pt idx="539">
                  <c:v>2.2662612262573035E-4</c:v>
                </c:pt>
                <c:pt idx="540">
                  <c:v>3.8051750380517503E-7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A5-42D5-A903-9BA8242127F8}"/>
            </c:ext>
          </c:extLst>
        </c:ser>
        <c:ser>
          <c:idx val="2"/>
          <c:order val="2"/>
          <c:tx>
            <c:v>50-year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Extrapolation!$N$14:$O$14</c:f>
              <c:numCache>
                <c:formatCode>General</c:formatCode>
                <c:ptCount val="2"/>
                <c:pt idx="0">
                  <c:v>0</c:v>
                </c:pt>
                <c:pt idx="1">
                  <c:v>20000</c:v>
                </c:pt>
              </c:numCache>
            </c:numRef>
          </c:xVal>
          <c:yVal>
            <c:numRef>
              <c:f>Extrapolation!$N$15:$O$15</c:f>
              <c:numCache>
                <c:formatCode>General</c:formatCode>
                <c:ptCount val="2"/>
                <c:pt idx="0">
                  <c:v>3.8051750380517503E-7</c:v>
                </c:pt>
                <c:pt idx="1">
                  <c:v>3.8051750380517503E-7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A5-42D5-A903-9BA824212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82656"/>
        <c:axId val="488980032"/>
      </c:scatterChart>
      <c:valAx>
        <c:axId val="48898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/>
                  <a:t>My (kNm)</a:t>
                </a:r>
              </a:p>
            </c:rich>
          </c:tx>
          <c:layout>
            <c:manualLayout>
              <c:xMode val="edge"/>
              <c:yMode val="edge"/>
              <c:x val="0.47917872733774602"/>
              <c:y val="0.90322580645161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8980032"/>
        <c:crossesAt val="1.0000000000000005E-7"/>
        <c:crossBetween val="midCat"/>
      </c:valAx>
      <c:valAx>
        <c:axId val="488980032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/>
                  <a:t>probability of exceedance Load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056555269922879E-2"/>
              <c:y val="0.25851595969858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89826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altLang="zh-CN"/>
              <a:t>Dx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47892542843906"/>
          <c:y val="0.14223798266351459"/>
          <c:w val="0.70030133150191931"/>
          <c:h val="0.69104943442353395"/>
        </c:manualLayout>
      </c:layout>
      <c:scatterChart>
        <c:scatterStyle val="lineMarker"/>
        <c:varyColors val="0"/>
        <c:ser>
          <c:idx val="0"/>
          <c:order val="0"/>
          <c:tx>
            <c:v>Dx_Pro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Extrapolation!$K$12:$K$552</c:f>
              <c:numCache>
                <c:formatCode>General</c:formatCode>
                <c:ptCount val="541"/>
                <c:pt idx="0">
                  <c:v>8.4331321716308594</c:v>
                </c:pt>
                <c:pt idx="1">
                  <c:v>8.4873847961425781</c:v>
                </c:pt>
                <c:pt idx="2">
                  <c:v>8.4983530044555664</c:v>
                </c:pt>
                <c:pt idx="3">
                  <c:v>8.6570510864257813</c:v>
                </c:pt>
                <c:pt idx="4">
                  <c:v>8.7504596710205078</c:v>
                </c:pt>
                <c:pt idx="5">
                  <c:v>8.8851194381713867</c:v>
                </c:pt>
                <c:pt idx="6">
                  <c:v>8.9769735336303711</c:v>
                </c:pt>
                <c:pt idx="7">
                  <c:v>9.2124910354614258</c:v>
                </c:pt>
                <c:pt idx="8">
                  <c:v>9.2874174118041992</c:v>
                </c:pt>
                <c:pt idx="9">
                  <c:v>9.5466318130493164</c:v>
                </c:pt>
                <c:pt idx="10">
                  <c:v>9.5740175247192383</c:v>
                </c:pt>
                <c:pt idx="11">
                  <c:v>9.5840730667114258</c:v>
                </c:pt>
                <c:pt idx="12">
                  <c:v>9.6290607452392578</c:v>
                </c:pt>
                <c:pt idx="13">
                  <c:v>9.659153938293457</c:v>
                </c:pt>
                <c:pt idx="14">
                  <c:v>9.6740264892578125</c:v>
                </c:pt>
                <c:pt idx="15">
                  <c:v>9.718693733215332</c:v>
                </c:pt>
                <c:pt idx="16">
                  <c:v>9.7483768463134766</c:v>
                </c:pt>
                <c:pt idx="17">
                  <c:v>9.7809553146362305</c:v>
                </c:pt>
                <c:pt idx="18">
                  <c:v>9.8884897232055664</c:v>
                </c:pt>
                <c:pt idx="19">
                  <c:v>10.040622711181641</c:v>
                </c:pt>
                <c:pt idx="20">
                  <c:v>10.071426391601563</c:v>
                </c:pt>
                <c:pt idx="21">
                  <c:v>10.107729911804199</c:v>
                </c:pt>
                <c:pt idx="22">
                  <c:v>10.273948669433594</c:v>
                </c:pt>
                <c:pt idx="23">
                  <c:v>10.279210090637207</c:v>
                </c:pt>
                <c:pt idx="24">
                  <c:v>10.292530059814453</c:v>
                </c:pt>
                <c:pt idx="25">
                  <c:v>10.312351226806641</c:v>
                </c:pt>
                <c:pt idx="26">
                  <c:v>10.321870803833008</c:v>
                </c:pt>
                <c:pt idx="27">
                  <c:v>10.327005386352539</c:v>
                </c:pt>
                <c:pt idx="28">
                  <c:v>10.371017456054688</c:v>
                </c:pt>
                <c:pt idx="29">
                  <c:v>10.372244834899902</c:v>
                </c:pt>
                <c:pt idx="30">
                  <c:v>10.395659446716309</c:v>
                </c:pt>
                <c:pt idx="31">
                  <c:v>10.397263526916504</c:v>
                </c:pt>
                <c:pt idx="32">
                  <c:v>10.397344589233398</c:v>
                </c:pt>
                <c:pt idx="33">
                  <c:v>10.403360366821289</c:v>
                </c:pt>
                <c:pt idx="34">
                  <c:v>10.41545581817627</c:v>
                </c:pt>
                <c:pt idx="35">
                  <c:v>10.453702926635742</c:v>
                </c:pt>
                <c:pt idx="36">
                  <c:v>10.47556209564209</c:v>
                </c:pt>
                <c:pt idx="37">
                  <c:v>10.480860710144043</c:v>
                </c:pt>
                <c:pt idx="38">
                  <c:v>10.481094360351563</c:v>
                </c:pt>
                <c:pt idx="39">
                  <c:v>10.481490135192871</c:v>
                </c:pt>
                <c:pt idx="40">
                  <c:v>10.487228393554688</c:v>
                </c:pt>
                <c:pt idx="41">
                  <c:v>10.492035865783691</c:v>
                </c:pt>
                <c:pt idx="42">
                  <c:v>10.509722709655762</c:v>
                </c:pt>
                <c:pt idx="43">
                  <c:v>10.527604103088379</c:v>
                </c:pt>
                <c:pt idx="44">
                  <c:v>10.545735359191895</c:v>
                </c:pt>
                <c:pt idx="45">
                  <c:v>10.547500610351563</c:v>
                </c:pt>
                <c:pt idx="46">
                  <c:v>10.584567070007324</c:v>
                </c:pt>
                <c:pt idx="47">
                  <c:v>10.586276054382324</c:v>
                </c:pt>
                <c:pt idx="48">
                  <c:v>10.628192901611328</c:v>
                </c:pt>
                <c:pt idx="49">
                  <c:v>10.64467716217041</c:v>
                </c:pt>
                <c:pt idx="50">
                  <c:v>10.678064346313477</c:v>
                </c:pt>
                <c:pt idx="51">
                  <c:v>10.732308387756348</c:v>
                </c:pt>
                <c:pt idx="52">
                  <c:v>10.733250617980957</c:v>
                </c:pt>
                <c:pt idx="53">
                  <c:v>10.738313674926758</c:v>
                </c:pt>
                <c:pt idx="54">
                  <c:v>10.747846603393555</c:v>
                </c:pt>
                <c:pt idx="55">
                  <c:v>10.771830558776855</c:v>
                </c:pt>
                <c:pt idx="56">
                  <c:v>10.783828735351563</c:v>
                </c:pt>
                <c:pt idx="57">
                  <c:v>10.788516998291016</c:v>
                </c:pt>
                <c:pt idx="58">
                  <c:v>10.790127754211426</c:v>
                </c:pt>
                <c:pt idx="59">
                  <c:v>10.848018646240234</c:v>
                </c:pt>
                <c:pt idx="60">
                  <c:v>10.848333358764648</c:v>
                </c:pt>
                <c:pt idx="61">
                  <c:v>10.859234809875488</c:v>
                </c:pt>
                <c:pt idx="62">
                  <c:v>10.859994888305664</c:v>
                </c:pt>
                <c:pt idx="63">
                  <c:v>10.865875244140625</c:v>
                </c:pt>
                <c:pt idx="64">
                  <c:v>10.888992309570313</c:v>
                </c:pt>
                <c:pt idx="65">
                  <c:v>10.93040657043457</c:v>
                </c:pt>
                <c:pt idx="66">
                  <c:v>11.020030975341797</c:v>
                </c:pt>
                <c:pt idx="67">
                  <c:v>11.027270317077637</c:v>
                </c:pt>
                <c:pt idx="68">
                  <c:v>11.048103332519531</c:v>
                </c:pt>
                <c:pt idx="69">
                  <c:v>11.056553840637207</c:v>
                </c:pt>
                <c:pt idx="70">
                  <c:v>11.070590019226074</c:v>
                </c:pt>
                <c:pt idx="71">
                  <c:v>11.070852279663086</c:v>
                </c:pt>
                <c:pt idx="72">
                  <c:v>11.079747200012207</c:v>
                </c:pt>
                <c:pt idx="73">
                  <c:v>11.134340286254883</c:v>
                </c:pt>
                <c:pt idx="74">
                  <c:v>11.14080810546875</c:v>
                </c:pt>
                <c:pt idx="75">
                  <c:v>11.142857551574707</c:v>
                </c:pt>
                <c:pt idx="76">
                  <c:v>11.17795467376709</c:v>
                </c:pt>
                <c:pt idx="77">
                  <c:v>11.201815605163574</c:v>
                </c:pt>
                <c:pt idx="78">
                  <c:v>11.220614433288574</c:v>
                </c:pt>
                <c:pt idx="79">
                  <c:v>11.244706153869629</c:v>
                </c:pt>
                <c:pt idx="80">
                  <c:v>11.248252868652344</c:v>
                </c:pt>
                <c:pt idx="81">
                  <c:v>11.248635292053223</c:v>
                </c:pt>
                <c:pt idx="82">
                  <c:v>11.287103652954102</c:v>
                </c:pt>
                <c:pt idx="83">
                  <c:v>11.291441917419434</c:v>
                </c:pt>
                <c:pt idx="84">
                  <c:v>11.302172660827637</c:v>
                </c:pt>
                <c:pt idx="85">
                  <c:v>11.36501407623291</c:v>
                </c:pt>
                <c:pt idx="86">
                  <c:v>11.381782531738281</c:v>
                </c:pt>
                <c:pt idx="87">
                  <c:v>11.383501052856445</c:v>
                </c:pt>
                <c:pt idx="88">
                  <c:v>11.390932083129883</c:v>
                </c:pt>
                <c:pt idx="89">
                  <c:v>11.39936637878418</c:v>
                </c:pt>
                <c:pt idx="90">
                  <c:v>11.399449348449707</c:v>
                </c:pt>
                <c:pt idx="91">
                  <c:v>11.418981552124023</c:v>
                </c:pt>
                <c:pt idx="92">
                  <c:v>11.430893898010254</c:v>
                </c:pt>
                <c:pt idx="93">
                  <c:v>11.491589546203613</c:v>
                </c:pt>
                <c:pt idx="94">
                  <c:v>11.49229621887207</c:v>
                </c:pt>
                <c:pt idx="95">
                  <c:v>11.506749153137207</c:v>
                </c:pt>
                <c:pt idx="96">
                  <c:v>11.569378852844238</c:v>
                </c:pt>
                <c:pt idx="97">
                  <c:v>11.585018157958984</c:v>
                </c:pt>
                <c:pt idx="98">
                  <c:v>11.588923454284668</c:v>
                </c:pt>
                <c:pt idx="99">
                  <c:v>11.631763458251953</c:v>
                </c:pt>
                <c:pt idx="100">
                  <c:v>11.633013725280762</c:v>
                </c:pt>
                <c:pt idx="101">
                  <c:v>11.655497550964355</c:v>
                </c:pt>
                <c:pt idx="102">
                  <c:v>11.66466236114502</c:v>
                </c:pt>
                <c:pt idx="103">
                  <c:v>11.728519439697266</c:v>
                </c:pt>
                <c:pt idx="104">
                  <c:v>11.764962196350098</c:v>
                </c:pt>
                <c:pt idx="105">
                  <c:v>11.76596736907959</c:v>
                </c:pt>
                <c:pt idx="106">
                  <c:v>11.783818244934082</c:v>
                </c:pt>
                <c:pt idx="107">
                  <c:v>11.787068367004395</c:v>
                </c:pt>
                <c:pt idx="108">
                  <c:v>11.792746543884277</c:v>
                </c:pt>
                <c:pt idx="109">
                  <c:v>11.818963050842285</c:v>
                </c:pt>
                <c:pt idx="110">
                  <c:v>11.840177536010742</c:v>
                </c:pt>
                <c:pt idx="111">
                  <c:v>11.857151031494141</c:v>
                </c:pt>
                <c:pt idx="112">
                  <c:v>11.862974166870117</c:v>
                </c:pt>
                <c:pt idx="113">
                  <c:v>11.87614631652832</c:v>
                </c:pt>
                <c:pt idx="114">
                  <c:v>11.880672454833984</c:v>
                </c:pt>
                <c:pt idx="115">
                  <c:v>11.881376266479492</c:v>
                </c:pt>
                <c:pt idx="116">
                  <c:v>11.895634651184082</c:v>
                </c:pt>
                <c:pt idx="117">
                  <c:v>11.896761894226074</c:v>
                </c:pt>
                <c:pt idx="118">
                  <c:v>11.905855178833008</c:v>
                </c:pt>
                <c:pt idx="119">
                  <c:v>11.90787410736084</c:v>
                </c:pt>
                <c:pt idx="120">
                  <c:v>11.921449661254883</c:v>
                </c:pt>
                <c:pt idx="121">
                  <c:v>11.946213722229004</c:v>
                </c:pt>
                <c:pt idx="122">
                  <c:v>11.960766792297363</c:v>
                </c:pt>
                <c:pt idx="123">
                  <c:v>11.964569091796875</c:v>
                </c:pt>
                <c:pt idx="124">
                  <c:v>11.974716186523438</c:v>
                </c:pt>
                <c:pt idx="125">
                  <c:v>11.9832763671875</c:v>
                </c:pt>
                <c:pt idx="126">
                  <c:v>11.988593101501465</c:v>
                </c:pt>
                <c:pt idx="127">
                  <c:v>12.017244338989258</c:v>
                </c:pt>
                <c:pt idx="128">
                  <c:v>12.03697681427002</c:v>
                </c:pt>
                <c:pt idx="129">
                  <c:v>12.043862342834473</c:v>
                </c:pt>
                <c:pt idx="130">
                  <c:v>12.045499801635742</c:v>
                </c:pt>
                <c:pt idx="131">
                  <c:v>12.046049118041992</c:v>
                </c:pt>
                <c:pt idx="132">
                  <c:v>12.054322242736816</c:v>
                </c:pt>
                <c:pt idx="133">
                  <c:v>12.063288688659668</c:v>
                </c:pt>
                <c:pt idx="134">
                  <c:v>12.077924728393555</c:v>
                </c:pt>
                <c:pt idx="135">
                  <c:v>12.100709915161133</c:v>
                </c:pt>
                <c:pt idx="136">
                  <c:v>12.110803604125977</c:v>
                </c:pt>
                <c:pt idx="137">
                  <c:v>12.118688583374023</c:v>
                </c:pt>
                <c:pt idx="138">
                  <c:v>12.119532585144043</c:v>
                </c:pt>
                <c:pt idx="139">
                  <c:v>12.124018669128418</c:v>
                </c:pt>
                <c:pt idx="140">
                  <c:v>12.164920806884766</c:v>
                </c:pt>
                <c:pt idx="141">
                  <c:v>12.205229759216309</c:v>
                </c:pt>
                <c:pt idx="142">
                  <c:v>12.224136352539063</c:v>
                </c:pt>
                <c:pt idx="143">
                  <c:v>12.239339828491211</c:v>
                </c:pt>
                <c:pt idx="144">
                  <c:v>12.245086669921875</c:v>
                </c:pt>
                <c:pt idx="145">
                  <c:v>12.272363662719727</c:v>
                </c:pt>
                <c:pt idx="146">
                  <c:v>12.332560539245605</c:v>
                </c:pt>
                <c:pt idx="147">
                  <c:v>12.341717720031738</c:v>
                </c:pt>
                <c:pt idx="148">
                  <c:v>12.349394798278809</c:v>
                </c:pt>
                <c:pt idx="149">
                  <c:v>12.354214668273926</c:v>
                </c:pt>
                <c:pt idx="150">
                  <c:v>12.355725288391113</c:v>
                </c:pt>
                <c:pt idx="151">
                  <c:v>12.36133861541748</c:v>
                </c:pt>
                <c:pt idx="152">
                  <c:v>12.365097045898438</c:v>
                </c:pt>
                <c:pt idx="153">
                  <c:v>12.380829811096191</c:v>
                </c:pt>
                <c:pt idx="154">
                  <c:v>12.389643669128418</c:v>
                </c:pt>
                <c:pt idx="155">
                  <c:v>12.39626407623291</c:v>
                </c:pt>
                <c:pt idx="156">
                  <c:v>12.404642105102539</c:v>
                </c:pt>
                <c:pt idx="157">
                  <c:v>12.405790328979492</c:v>
                </c:pt>
                <c:pt idx="158">
                  <c:v>12.410969734191895</c:v>
                </c:pt>
                <c:pt idx="159">
                  <c:v>12.443376541137695</c:v>
                </c:pt>
                <c:pt idx="160">
                  <c:v>12.460427284240723</c:v>
                </c:pt>
                <c:pt idx="161">
                  <c:v>12.489338874816895</c:v>
                </c:pt>
                <c:pt idx="162">
                  <c:v>12.504961967468262</c:v>
                </c:pt>
                <c:pt idx="163">
                  <c:v>12.529848098754883</c:v>
                </c:pt>
                <c:pt idx="164">
                  <c:v>12.538472175598145</c:v>
                </c:pt>
                <c:pt idx="165">
                  <c:v>12.544685363769531</c:v>
                </c:pt>
                <c:pt idx="166">
                  <c:v>12.548006057739258</c:v>
                </c:pt>
                <c:pt idx="167">
                  <c:v>12.571346282958984</c:v>
                </c:pt>
                <c:pt idx="168">
                  <c:v>12.579401969909668</c:v>
                </c:pt>
                <c:pt idx="169">
                  <c:v>12.583495140075684</c:v>
                </c:pt>
                <c:pt idx="170">
                  <c:v>12.594945907592773</c:v>
                </c:pt>
                <c:pt idx="171">
                  <c:v>12.616076469421387</c:v>
                </c:pt>
                <c:pt idx="172">
                  <c:v>12.617484092712402</c:v>
                </c:pt>
                <c:pt idx="173">
                  <c:v>12.655155181884766</c:v>
                </c:pt>
                <c:pt idx="174">
                  <c:v>12.656781196594238</c:v>
                </c:pt>
                <c:pt idx="175">
                  <c:v>12.680577278137207</c:v>
                </c:pt>
                <c:pt idx="176">
                  <c:v>12.691671371459961</c:v>
                </c:pt>
                <c:pt idx="177">
                  <c:v>12.711462020874023</c:v>
                </c:pt>
                <c:pt idx="178">
                  <c:v>12.711570739746094</c:v>
                </c:pt>
                <c:pt idx="179">
                  <c:v>12.715810775756836</c:v>
                </c:pt>
                <c:pt idx="180">
                  <c:v>12.717411994934082</c:v>
                </c:pt>
                <c:pt idx="181">
                  <c:v>12.726799011230469</c:v>
                </c:pt>
                <c:pt idx="182">
                  <c:v>12.746869087219238</c:v>
                </c:pt>
                <c:pt idx="183">
                  <c:v>12.750140190124512</c:v>
                </c:pt>
                <c:pt idx="184">
                  <c:v>12.764886856079102</c:v>
                </c:pt>
                <c:pt idx="185">
                  <c:v>12.775029182434082</c:v>
                </c:pt>
                <c:pt idx="186">
                  <c:v>12.794351577758789</c:v>
                </c:pt>
                <c:pt idx="187">
                  <c:v>12.794976234436035</c:v>
                </c:pt>
                <c:pt idx="188">
                  <c:v>12.876514434814453</c:v>
                </c:pt>
                <c:pt idx="189">
                  <c:v>12.898942947387695</c:v>
                </c:pt>
                <c:pt idx="190">
                  <c:v>12.90796947479248</c:v>
                </c:pt>
                <c:pt idx="191">
                  <c:v>12.910773277282715</c:v>
                </c:pt>
                <c:pt idx="192">
                  <c:v>12.912376403808594</c:v>
                </c:pt>
                <c:pt idx="193">
                  <c:v>12.918580055236816</c:v>
                </c:pt>
                <c:pt idx="194">
                  <c:v>12.945170402526855</c:v>
                </c:pt>
                <c:pt idx="195">
                  <c:v>12.953222274780273</c:v>
                </c:pt>
                <c:pt idx="196">
                  <c:v>12.973063468933105</c:v>
                </c:pt>
                <c:pt idx="197">
                  <c:v>12.99124813079834</c:v>
                </c:pt>
                <c:pt idx="198">
                  <c:v>12.995405197143555</c:v>
                </c:pt>
                <c:pt idx="199">
                  <c:v>13.013371467590332</c:v>
                </c:pt>
                <c:pt idx="200">
                  <c:v>13.015888214111328</c:v>
                </c:pt>
                <c:pt idx="201">
                  <c:v>13.018619537353516</c:v>
                </c:pt>
                <c:pt idx="202">
                  <c:v>13.019942283630371</c:v>
                </c:pt>
                <c:pt idx="203">
                  <c:v>13.023520469665527</c:v>
                </c:pt>
                <c:pt idx="204">
                  <c:v>13.032739639282227</c:v>
                </c:pt>
                <c:pt idx="205">
                  <c:v>13.034626007080078</c:v>
                </c:pt>
                <c:pt idx="206">
                  <c:v>13.03923511505127</c:v>
                </c:pt>
                <c:pt idx="207">
                  <c:v>13.040851593017578</c:v>
                </c:pt>
                <c:pt idx="208">
                  <c:v>13.086817741394043</c:v>
                </c:pt>
                <c:pt idx="209">
                  <c:v>13.08958911895752</c:v>
                </c:pt>
                <c:pt idx="210">
                  <c:v>13.101114273071289</c:v>
                </c:pt>
                <c:pt idx="211">
                  <c:v>13.108488082885742</c:v>
                </c:pt>
                <c:pt idx="212">
                  <c:v>13.114522933959961</c:v>
                </c:pt>
                <c:pt idx="213">
                  <c:v>13.189785003662109</c:v>
                </c:pt>
                <c:pt idx="214">
                  <c:v>13.192981719970703</c:v>
                </c:pt>
                <c:pt idx="215">
                  <c:v>13.210948944091797</c:v>
                </c:pt>
                <c:pt idx="216">
                  <c:v>13.218448638916016</c:v>
                </c:pt>
                <c:pt idx="217">
                  <c:v>13.229022026062012</c:v>
                </c:pt>
                <c:pt idx="218">
                  <c:v>13.230360984802246</c:v>
                </c:pt>
                <c:pt idx="219">
                  <c:v>13.238157272338867</c:v>
                </c:pt>
                <c:pt idx="220">
                  <c:v>13.251519203186035</c:v>
                </c:pt>
                <c:pt idx="221">
                  <c:v>13.253626823425293</c:v>
                </c:pt>
                <c:pt idx="222">
                  <c:v>13.276176452636719</c:v>
                </c:pt>
                <c:pt idx="223">
                  <c:v>13.279438018798828</c:v>
                </c:pt>
                <c:pt idx="224">
                  <c:v>13.293807983398438</c:v>
                </c:pt>
                <c:pt idx="225">
                  <c:v>13.307661056518555</c:v>
                </c:pt>
                <c:pt idx="226">
                  <c:v>13.31362247467041</c:v>
                </c:pt>
                <c:pt idx="227">
                  <c:v>13.332456588745117</c:v>
                </c:pt>
                <c:pt idx="228">
                  <c:v>13.354397773742676</c:v>
                </c:pt>
                <c:pt idx="229">
                  <c:v>13.357977867126465</c:v>
                </c:pt>
                <c:pt idx="230">
                  <c:v>13.397314071655273</c:v>
                </c:pt>
                <c:pt idx="231">
                  <c:v>13.402802467346191</c:v>
                </c:pt>
                <c:pt idx="232">
                  <c:v>13.417252540588379</c:v>
                </c:pt>
                <c:pt idx="233">
                  <c:v>13.435183525085449</c:v>
                </c:pt>
                <c:pt idx="234">
                  <c:v>13.466150283813477</c:v>
                </c:pt>
                <c:pt idx="235">
                  <c:v>13.473003387451172</c:v>
                </c:pt>
                <c:pt idx="236">
                  <c:v>13.477879524230957</c:v>
                </c:pt>
                <c:pt idx="237">
                  <c:v>13.482427597045898</c:v>
                </c:pt>
                <c:pt idx="238">
                  <c:v>13.496177673339844</c:v>
                </c:pt>
                <c:pt idx="239">
                  <c:v>13.503764152526855</c:v>
                </c:pt>
                <c:pt idx="240">
                  <c:v>13.510305404663086</c:v>
                </c:pt>
                <c:pt idx="241">
                  <c:v>13.528200149536133</c:v>
                </c:pt>
                <c:pt idx="242">
                  <c:v>13.541327476501465</c:v>
                </c:pt>
                <c:pt idx="243">
                  <c:v>13.571276664733887</c:v>
                </c:pt>
                <c:pt idx="244">
                  <c:v>13.572399139404297</c:v>
                </c:pt>
                <c:pt idx="245">
                  <c:v>13.588135719299316</c:v>
                </c:pt>
                <c:pt idx="246">
                  <c:v>13.629913330078125</c:v>
                </c:pt>
                <c:pt idx="247">
                  <c:v>13.641864776611328</c:v>
                </c:pt>
                <c:pt idx="248">
                  <c:v>13.659306526184082</c:v>
                </c:pt>
                <c:pt idx="249">
                  <c:v>13.663948059082031</c:v>
                </c:pt>
                <c:pt idx="250">
                  <c:v>13.679931640625</c:v>
                </c:pt>
                <c:pt idx="251">
                  <c:v>13.685076713562012</c:v>
                </c:pt>
                <c:pt idx="252">
                  <c:v>13.686276435852051</c:v>
                </c:pt>
                <c:pt idx="253">
                  <c:v>13.687596321105957</c:v>
                </c:pt>
                <c:pt idx="254">
                  <c:v>13.696569442749023</c:v>
                </c:pt>
                <c:pt idx="255">
                  <c:v>13.721676826477051</c:v>
                </c:pt>
                <c:pt idx="256">
                  <c:v>13.731443405151367</c:v>
                </c:pt>
                <c:pt idx="257">
                  <c:v>13.741439819335938</c:v>
                </c:pt>
                <c:pt idx="258">
                  <c:v>13.754462242126465</c:v>
                </c:pt>
                <c:pt idx="259">
                  <c:v>13.756754875183105</c:v>
                </c:pt>
                <c:pt idx="260">
                  <c:v>13.822353363037109</c:v>
                </c:pt>
                <c:pt idx="261">
                  <c:v>13.833733558654785</c:v>
                </c:pt>
                <c:pt idx="262">
                  <c:v>13.843864440917969</c:v>
                </c:pt>
                <c:pt idx="263">
                  <c:v>13.845535278320313</c:v>
                </c:pt>
                <c:pt idx="264">
                  <c:v>13.891035079956055</c:v>
                </c:pt>
                <c:pt idx="265">
                  <c:v>13.91913890838623</c:v>
                </c:pt>
                <c:pt idx="266">
                  <c:v>13.920162200927734</c:v>
                </c:pt>
                <c:pt idx="267">
                  <c:v>13.994297981262207</c:v>
                </c:pt>
                <c:pt idx="268">
                  <c:v>14.00206184387207</c:v>
                </c:pt>
                <c:pt idx="269">
                  <c:v>14.011149406433105</c:v>
                </c:pt>
                <c:pt idx="270">
                  <c:v>14.013809204101563</c:v>
                </c:pt>
                <c:pt idx="271">
                  <c:v>14.014244079589844</c:v>
                </c:pt>
                <c:pt idx="272">
                  <c:v>14.03359317779541</c:v>
                </c:pt>
                <c:pt idx="273">
                  <c:v>14.080909729003906</c:v>
                </c:pt>
                <c:pt idx="274">
                  <c:v>14.081181526184082</c:v>
                </c:pt>
                <c:pt idx="275">
                  <c:v>14.112170219421387</c:v>
                </c:pt>
                <c:pt idx="276">
                  <c:v>14.117085456848145</c:v>
                </c:pt>
                <c:pt idx="277">
                  <c:v>14.129061698913574</c:v>
                </c:pt>
                <c:pt idx="278">
                  <c:v>14.152168273925781</c:v>
                </c:pt>
                <c:pt idx="279">
                  <c:v>14.188843727111816</c:v>
                </c:pt>
                <c:pt idx="280">
                  <c:v>14.239205360412598</c:v>
                </c:pt>
                <c:pt idx="281">
                  <c:v>14.262596130371094</c:v>
                </c:pt>
                <c:pt idx="282">
                  <c:v>14.284689903259277</c:v>
                </c:pt>
                <c:pt idx="283">
                  <c:v>14.315909385681152</c:v>
                </c:pt>
                <c:pt idx="284">
                  <c:v>14.329156875610352</c:v>
                </c:pt>
                <c:pt idx="285">
                  <c:v>14.348115921020508</c:v>
                </c:pt>
                <c:pt idx="286">
                  <c:v>14.381908416748047</c:v>
                </c:pt>
                <c:pt idx="287">
                  <c:v>14.398818969726563</c:v>
                </c:pt>
                <c:pt idx="288">
                  <c:v>14.430496215820313</c:v>
                </c:pt>
                <c:pt idx="289">
                  <c:v>14.440387725830078</c:v>
                </c:pt>
                <c:pt idx="290">
                  <c:v>14.447521209716797</c:v>
                </c:pt>
                <c:pt idx="291">
                  <c:v>14.459376335144043</c:v>
                </c:pt>
                <c:pt idx="292">
                  <c:v>14.472825050354004</c:v>
                </c:pt>
                <c:pt idx="293">
                  <c:v>14.481236457824707</c:v>
                </c:pt>
                <c:pt idx="294">
                  <c:v>14.482855796813965</c:v>
                </c:pt>
                <c:pt idx="295">
                  <c:v>14.495588302612305</c:v>
                </c:pt>
                <c:pt idx="296">
                  <c:v>14.521425247192383</c:v>
                </c:pt>
                <c:pt idx="297">
                  <c:v>14.540904998779297</c:v>
                </c:pt>
                <c:pt idx="298">
                  <c:v>14.545557975769043</c:v>
                </c:pt>
                <c:pt idx="299">
                  <c:v>14.545918464660645</c:v>
                </c:pt>
                <c:pt idx="300">
                  <c:v>14.548342704772949</c:v>
                </c:pt>
                <c:pt idx="301">
                  <c:v>14.579719543457031</c:v>
                </c:pt>
                <c:pt idx="302">
                  <c:v>14.654423713684082</c:v>
                </c:pt>
                <c:pt idx="303">
                  <c:v>14.664799690246582</c:v>
                </c:pt>
                <c:pt idx="304">
                  <c:v>14.67646312713623</c:v>
                </c:pt>
                <c:pt idx="305">
                  <c:v>14.677615165710449</c:v>
                </c:pt>
                <c:pt idx="306">
                  <c:v>14.704850196838379</c:v>
                </c:pt>
                <c:pt idx="307">
                  <c:v>14.706531524658203</c:v>
                </c:pt>
                <c:pt idx="308">
                  <c:v>14.735055923461914</c:v>
                </c:pt>
                <c:pt idx="309">
                  <c:v>14.755152702331543</c:v>
                </c:pt>
                <c:pt idx="310">
                  <c:v>14.755260467529297</c:v>
                </c:pt>
                <c:pt idx="311">
                  <c:v>14.79188060760498</c:v>
                </c:pt>
                <c:pt idx="312">
                  <c:v>14.817777633666992</c:v>
                </c:pt>
                <c:pt idx="313">
                  <c:v>14.826322555541992</c:v>
                </c:pt>
                <c:pt idx="314">
                  <c:v>14.843902587890625</c:v>
                </c:pt>
                <c:pt idx="315">
                  <c:v>14.844147682189941</c:v>
                </c:pt>
                <c:pt idx="316">
                  <c:v>14.844813346862793</c:v>
                </c:pt>
                <c:pt idx="317">
                  <c:v>14.90273380279541</c:v>
                </c:pt>
                <c:pt idx="318">
                  <c:v>14.913819313049316</c:v>
                </c:pt>
                <c:pt idx="319">
                  <c:v>14.946480751037598</c:v>
                </c:pt>
                <c:pt idx="320">
                  <c:v>15.011262893676758</c:v>
                </c:pt>
                <c:pt idx="321">
                  <c:v>15.014269828796387</c:v>
                </c:pt>
                <c:pt idx="322">
                  <c:v>15.036250114440918</c:v>
                </c:pt>
                <c:pt idx="323">
                  <c:v>15.088603019714355</c:v>
                </c:pt>
                <c:pt idx="324">
                  <c:v>15.172671318054199</c:v>
                </c:pt>
                <c:pt idx="325">
                  <c:v>15.182847023010254</c:v>
                </c:pt>
                <c:pt idx="326">
                  <c:v>15.204999923706055</c:v>
                </c:pt>
                <c:pt idx="327">
                  <c:v>15.223983764648438</c:v>
                </c:pt>
                <c:pt idx="328">
                  <c:v>15.285244941711426</c:v>
                </c:pt>
                <c:pt idx="329">
                  <c:v>15.335382461547852</c:v>
                </c:pt>
                <c:pt idx="330">
                  <c:v>15.359257698059082</c:v>
                </c:pt>
                <c:pt idx="331">
                  <c:v>15.371742248535156</c:v>
                </c:pt>
                <c:pt idx="332">
                  <c:v>15.382610321044922</c:v>
                </c:pt>
                <c:pt idx="333">
                  <c:v>15.422443389892578</c:v>
                </c:pt>
                <c:pt idx="334">
                  <c:v>15.437429428100586</c:v>
                </c:pt>
                <c:pt idx="335">
                  <c:v>15.454901695251465</c:v>
                </c:pt>
                <c:pt idx="336">
                  <c:v>15.48316478729248</c:v>
                </c:pt>
                <c:pt idx="337">
                  <c:v>15.506329536437988</c:v>
                </c:pt>
                <c:pt idx="338">
                  <c:v>15.602725028991699</c:v>
                </c:pt>
                <c:pt idx="339">
                  <c:v>15.606799125671387</c:v>
                </c:pt>
                <c:pt idx="340">
                  <c:v>15.615663528442383</c:v>
                </c:pt>
                <c:pt idx="341">
                  <c:v>15.619054794311523</c:v>
                </c:pt>
                <c:pt idx="342">
                  <c:v>15.639986991882324</c:v>
                </c:pt>
                <c:pt idx="343">
                  <c:v>15.718418121337891</c:v>
                </c:pt>
                <c:pt idx="344">
                  <c:v>15.758711814880371</c:v>
                </c:pt>
                <c:pt idx="345">
                  <c:v>15.766495704650879</c:v>
                </c:pt>
                <c:pt idx="346">
                  <c:v>15.788023948669434</c:v>
                </c:pt>
                <c:pt idx="347">
                  <c:v>15.805816650390625</c:v>
                </c:pt>
                <c:pt idx="348">
                  <c:v>15.810877799987793</c:v>
                </c:pt>
                <c:pt idx="349">
                  <c:v>15.810946464538574</c:v>
                </c:pt>
                <c:pt idx="350">
                  <c:v>15.849233627319336</c:v>
                </c:pt>
                <c:pt idx="351">
                  <c:v>15.855997085571289</c:v>
                </c:pt>
                <c:pt idx="352">
                  <c:v>15.875725746154785</c:v>
                </c:pt>
                <c:pt idx="353">
                  <c:v>15.875893592834473</c:v>
                </c:pt>
                <c:pt idx="354">
                  <c:v>15.899559020996094</c:v>
                </c:pt>
                <c:pt idx="355">
                  <c:v>15.91607666015625</c:v>
                </c:pt>
                <c:pt idx="356">
                  <c:v>15.966521263122559</c:v>
                </c:pt>
                <c:pt idx="357">
                  <c:v>16.030097961425781</c:v>
                </c:pt>
                <c:pt idx="358">
                  <c:v>16.051530838012695</c:v>
                </c:pt>
                <c:pt idx="359">
                  <c:v>16.133171081542969</c:v>
                </c:pt>
                <c:pt idx="360">
                  <c:v>16.168838500976563</c:v>
                </c:pt>
                <c:pt idx="361">
                  <c:v>16.193584442138672</c:v>
                </c:pt>
                <c:pt idx="362">
                  <c:v>16.195344924926758</c:v>
                </c:pt>
                <c:pt idx="363">
                  <c:v>16.217296600341797</c:v>
                </c:pt>
                <c:pt idx="364">
                  <c:v>16.21989631652832</c:v>
                </c:pt>
                <c:pt idx="365">
                  <c:v>16.220111846923828</c:v>
                </c:pt>
                <c:pt idx="366">
                  <c:v>16.278247833251953</c:v>
                </c:pt>
                <c:pt idx="367">
                  <c:v>16.278940200805664</c:v>
                </c:pt>
                <c:pt idx="368">
                  <c:v>16.287277221679688</c:v>
                </c:pt>
                <c:pt idx="369">
                  <c:v>16.310007095336914</c:v>
                </c:pt>
                <c:pt idx="370">
                  <c:v>16.318098068237305</c:v>
                </c:pt>
                <c:pt idx="371">
                  <c:v>16.321182250976563</c:v>
                </c:pt>
                <c:pt idx="372">
                  <c:v>16.349237442016602</c:v>
                </c:pt>
                <c:pt idx="373">
                  <c:v>16.353219985961914</c:v>
                </c:pt>
                <c:pt idx="374">
                  <c:v>16.358798980712891</c:v>
                </c:pt>
                <c:pt idx="375">
                  <c:v>16.397811889648438</c:v>
                </c:pt>
                <c:pt idx="376">
                  <c:v>16.404050827026367</c:v>
                </c:pt>
                <c:pt idx="377">
                  <c:v>16.438209533691406</c:v>
                </c:pt>
                <c:pt idx="378">
                  <c:v>16.441385269165039</c:v>
                </c:pt>
                <c:pt idx="379">
                  <c:v>16.450035095214844</c:v>
                </c:pt>
                <c:pt idx="380">
                  <c:v>16.450885772705078</c:v>
                </c:pt>
                <c:pt idx="381">
                  <c:v>16.455514907836914</c:v>
                </c:pt>
                <c:pt idx="382">
                  <c:v>16.502368927001953</c:v>
                </c:pt>
                <c:pt idx="383">
                  <c:v>16.507879257202148</c:v>
                </c:pt>
                <c:pt idx="384">
                  <c:v>16.514205932617188</c:v>
                </c:pt>
                <c:pt idx="385">
                  <c:v>16.526168823242188</c:v>
                </c:pt>
                <c:pt idx="386">
                  <c:v>16.542394638061523</c:v>
                </c:pt>
                <c:pt idx="387">
                  <c:v>16.555883407592773</c:v>
                </c:pt>
                <c:pt idx="388">
                  <c:v>16.56634521484375</c:v>
                </c:pt>
                <c:pt idx="389">
                  <c:v>16.570846557617188</c:v>
                </c:pt>
                <c:pt idx="390">
                  <c:v>16.573337554931641</c:v>
                </c:pt>
                <c:pt idx="391">
                  <c:v>16.588155746459961</c:v>
                </c:pt>
                <c:pt idx="392">
                  <c:v>16.589361190795898</c:v>
                </c:pt>
                <c:pt idx="393">
                  <c:v>16.651628494262695</c:v>
                </c:pt>
                <c:pt idx="394">
                  <c:v>16.655971527099609</c:v>
                </c:pt>
                <c:pt idx="395">
                  <c:v>16.677587509155273</c:v>
                </c:pt>
                <c:pt idx="396">
                  <c:v>16.705699920654297</c:v>
                </c:pt>
                <c:pt idx="397">
                  <c:v>16.706857681274414</c:v>
                </c:pt>
                <c:pt idx="398">
                  <c:v>16.710329055786133</c:v>
                </c:pt>
                <c:pt idx="399">
                  <c:v>16.711767196655273</c:v>
                </c:pt>
                <c:pt idx="400">
                  <c:v>16.734657287597656</c:v>
                </c:pt>
                <c:pt idx="401">
                  <c:v>16.754758834838867</c:v>
                </c:pt>
                <c:pt idx="402">
                  <c:v>16.757938385009766</c:v>
                </c:pt>
                <c:pt idx="403">
                  <c:v>16.77427864074707</c:v>
                </c:pt>
                <c:pt idx="404">
                  <c:v>16.7857666015625</c:v>
                </c:pt>
                <c:pt idx="405">
                  <c:v>16.809043884277344</c:v>
                </c:pt>
                <c:pt idx="406">
                  <c:v>16.813093185424805</c:v>
                </c:pt>
                <c:pt idx="407">
                  <c:v>16.824579238891602</c:v>
                </c:pt>
                <c:pt idx="408">
                  <c:v>16.855258941650391</c:v>
                </c:pt>
                <c:pt idx="409">
                  <c:v>16.866073608398438</c:v>
                </c:pt>
                <c:pt idx="410">
                  <c:v>16.883964538574219</c:v>
                </c:pt>
                <c:pt idx="411">
                  <c:v>16.887750625610352</c:v>
                </c:pt>
                <c:pt idx="412">
                  <c:v>16.901660919189453</c:v>
                </c:pt>
                <c:pt idx="413">
                  <c:v>16.901962280273438</c:v>
                </c:pt>
                <c:pt idx="414">
                  <c:v>16.90667724609375</c:v>
                </c:pt>
                <c:pt idx="415">
                  <c:v>16.924320220947266</c:v>
                </c:pt>
                <c:pt idx="416">
                  <c:v>16.925691604614258</c:v>
                </c:pt>
                <c:pt idx="417">
                  <c:v>16.926067352294922</c:v>
                </c:pt>
                <c:pt idx="418">
                  <c:v>16.933576583862305</c:v>
                </c:pt>
                <c:pt idx="419">
                  <c:v>16.935911178588867</c:v>
                </c:pt>
                <c:pt idx="420">
                  <c:v>16.952043533325195</c:v>
                </c:pt>
                <c:pt idx="421">
                  <c:v>16.95789909362793</c:v>
                </c:pt>
                <c:pt idx="422">
                  <c:v>16.957950592041016</c:v>
                </c:pt>
                <c:pt idx="423">
                  <c:v>16.962034225463867</c:v>
                </c:pt>
                <c:pt idx="424">
                  <c:v>16.963405609130859</c:v>
                </c:pt>
                <c:pt idx="425">
                  <c:v>16.968160629272461</c:v>
                </c:pt>
                <c:pt idx="426">
                  <c:v>16.972955703735352</c:v>
                </c:pt>
                <c:pt idx="427">
                  <c:v>16.984586715698242</c:v>
                </c:pt>
                <c:pt idx="428">
                  <c:v>16.993200302124023</c:v>
                </c:pt>
                <c:pt idx="429">
                  <c:v>16.997203826904297</c:v>
                </c:pt>
                <c:pt idx="430">
                  <c:v>17.01945686340332</c:v>
                </c:pt>
                <c:pt idx="431">
                  <c:v>17.059852600097656</c:v>
                </c:pt>
                <c:pt idx="432">
                  <c:v>17.068939208984375</c:v>
                </c:pt>
                <c:pt idx="433">
                  <c:v>17.080522537231445</c:v>
                </c:pt>
                <c:pt idx="434">
                  <c:v>17.082088470458984</c:v>
                </c:pt>
                <c:pt idx="435">
                  <c:v>17.093143463134766</c:v>
                </c:pt>
                <c:pt idx="436">
                  <c:v>17.095939636230469</c:v>
                </c:pt>
                <c:pt idx="437">
                  <c:v>17.10887336730957</c:v>
                </c:pt>
                <c:pt idx="438">
                  <c:v>17.109350204467773</c:v>
                </c:pt>
                <c:pt idx="439">
                  <c:v>17.109443664550781</c:v>
                </c:pt>
                <c:pt idx="440">
                  <c:v>17.110382080078125</c:v>
                </c:pt>
                <c:pt idx="441">
                  <c:v>17.117164611816406</c:v>
                </c:pt>
                <c:pt idx="442">
                  <c:v>17.119533538818359</c:v>
                </c:pt>
                <c:pt idx="443">
                  <c:v>17.141244888305664</c:v>
                </c:pt>
                <c:pt idx="444">
                  <c:v>17.147943496704102</c:v>
                </c:pt>
                <c:pt idx="445">
                  <c:v>17.158962249755859</c:v>
                </c:pt>
                <c:pt idx="446">
                  <c:v>17.165313720703125</c:v>
                </c:pt>
                <c:pt idx="447">
                  <c:v>17.165506362915039</c:v>
                </c:pt>
                <c:pt idx="448">
                  <c:v>17.171098709106445</c:v>
                </c:pt>
                <c:pt idx="449">
                  <c:v>17.172220230102539</c:v>
                </c:pt>
                <c:pt idx="450">
                  <c:v>17.178981781005859</c:v>
                </c:pt>
                <c:pt idx="451">
                  <c:v>17.18211555480957</c:v>
                </c:pt>
                <c:pt idx="452">
                  <c:v>17.182989120483398</c:v>
                </c:pt>
                <c:pt idx="453">
                  <c:v>17.184160232543945</c:v>
                </c:pt>
                <c:pt idx="454">
                  <c:v>17.200820922851563</c:v>
                </c:pt>
                <c:pt idx="455">
                  <c:v>17.201421737670898</c:v>
                </c:pt>
                <c:pt idx="456">
                  <c:v>17.209516525268555</c:v>
                </c:pt>
                <c:pt idx="457">
                  <c:v>17.210962295532227</c:v>
                </c:pt>
                <c:pt idx="458">
                  <c:v>17.211360931396484</c:v>
                </c:pt>
                <c:pt idx="459">
                  <c:v>17.227210998535156</c:v>
                </c:pt>
                <c:pt idx="460">
                  <c:v>17.231103897094727</c:v>
                </c:pt>
                <c:pt idx="461">
                  <c:v>17.233301162719727</c:v>
                </c:pt>
                <c:pt idx="462">
                  <c:v>17.235904693603516</c:v>
                </c:pt>
                <c:pt idx="463">
                  <c:v>17.249366760253906</c:v>
                </c:pt>
                <c:pt idx="464">
                  <c:v>17.25505256652832</c:v>
                </c:pt>
                <c:pt idx="465">
                  <c:v>17.265625</c:v>
                </c:pt>
                <c:pt idx="466">
                  <c:v>17.2667236328125</c:v>
                </c:pt>
                <c:pt idx="467">
                  <c:v>17.266748428344727</c:v>
                </c:pt>
                <c:pt idx="468">
                  <c:v>17.27092170715332</c:v>
                </c:pt>
                <c:pt idx="469">
                  <c:v>17.289085388183594</c:v>
                </c:pt>
                <c:pt idx="470">
                  <c:v>17.291040420532227</c:v>
                </c:pt>
                <c:pt idx="471">
                  <c:v>17.293363571166992</c:v>
                </c:pt>
                <c:pt idx="472">
                  <c:v>17.293672561645508</c:v>
                </c:pt>
                <c:pt idx="473">
                  <c:v>17.303129196166992</c:v>
                </c:pt>
                <c:pt idx="474">
                  <c:v>17.303516387939453</c:v>
                </c:pt>
                <c:pt idx="475">
                  <c:v>17.305644989013672</c:v>
                </c:pt>
                <c:pt idx="476">
                  <c:v>17.30859375</c:v>
                </c:pt>
                <c:pt idx="477">
                  <c:v>17.309846878051758</c:v>
                </c:pt>
                <c:pt idx="478">
                  <c:v>17.313142776489258</c:v>
                </c:pt>
                <c:pt idx="479">
                  <c:v>17.316106796264648</c:v>
                </c:pt>
                <c:pt idx="480">
                  <c:v>17.318729400634766</c:v>
                </c:pt>
                <c:pt idx="481">
                  <c:v>17.326198577880859</c:v>
                </c:pt>
                <c:pt idx="482">
                  <c:v>17.335199356079102</c:v>
                </c:pt>
                <c:pt idx="483">
                  <c:v>17.339971542358398</c:v>
                </c:pt>
                <c:pt idx="484">
                  <c:v>17.342826843261719</c:v>
                </c:pt>
                <c:pt idx="485">
                  <c:v>17.353500366210938</c:v>
                </c:pt>
                <c:pt idx="486">
                  <c:v>17.359725952148438</c:v>
                </c:pt>
                <c:pt idx="487">
                  <c:v>17.374002456665039</c:v>
                </c:pt>
                <c:pt idx="488">
                  <c:v>17.384355545043945</c:v>
                </c:pt>
                <c:pt idx="489">
                  <c:v>17.384624481201172</c:v>
                </c:pt>
                <c:pt idx="490">
                  <c:v>17.434015274047852</c:v>
                </c:pt>
                <c:pt idx="491">
                  <c:v>17.434244155883789</c:v>
                </c:pt>
                <c:pt idx="492">
                  <c:v>17.447946548461914</c:v>
                </c:pt>
                <c:pt idx="493">
                  <c:v>17.471946716308594</c:v>
                </c:pt>
                <c:pt idx="494">
                  <c:v>17.472908020019531</c:v>
                </c:pt>
                <c:pt idx="495">
                  <c:v>17.481330871582031</c:v>
                </c:pt>
                <c:pt idx="496">
                  <c:v>17.494550704956055</c:v>
                </c:pt>
                <c:pt idx="497">
                  <c:v>17.513036727905273</c:v>
                </c:pt>
                <c:pt idx="498">
                  <c:v>17.51746940612793</c:v>
                </c:pt>
                <c:pt idx="499">
                  <c:v>17.545696258544922</c:v>
                </c:pt>
                <c:pt idx="500">
                  <c:v>17.550369262695313</c:v>
                </c:pt>
                <c:pt idx="501">
                  <c:v>17.555889129638672</c:v>
                </c:pt>
                <c:pt idx="502">
                  <c:v>17.557685852050781</c:v>
                </c:pt>
                <c:pt idx="503">
                  <c:v>17.563262939453125</c:v>
                </c:pt>
                <c:pt idx="504">
                  <c:v>17.573818206787109</c:v>
                </c:pt>
                <c:pt idx="505">
                  <c:v>17.589786529541016</c:v>
                </c:pt>
                <c:pt idx="506">
                  <c:v>17.613492965698242</c:v>
                </c:pt>
                <c:pt idx="507">
                  <c:v>17.614297866821289</c:v>
                </c:pt>
                <c:pt idx="508">
                  <c:v>17.618532180786133</c:v>
                </c:pt>
                <c:pt idx="509">
                  <c:v>17.651998519897461</c:v>
                </c:pt>
                <c:pt idx="510">
                  <c:v>17.664535522460938</c:v>
                </c:pt>
                <c:pt idx="511">
                  <c:v>17.673797607421875</c:v>
                </c:pt>
                <c:pt idx="512">
                  <c:v>17.68333625793457</c:v>
                </c:pt>
                <c:pt idx="513">
                  <c:v>17.684995651245117</c:v>
                </c:pt>
                <c:pt idx="514">
                  <c:v>17.689922332763672</c:v>
                </c:pt>
                <c:pt idx="515">
                  <c:v>17.710783004760742</c:v>
                </c:pt>
                <c:pt idx="516">
                  <c:v>17.713069915771484</c:v>
                </c:pt>
                <c:pt idx="517">
                  <c:v>17.713956832885742</c:v>
                </c:pt>
                <c:pt idx="518">
                  <c:v>17.735492706298828</c:v>
                </c:pt>
                <c:pt idx="519">
                  <c:v>17.767147064208984</c:v>
                </c:pt>
                <c:pt idx="520">
                  <c:v>17.768043518066406</c:v>
                </c:pt>
                <c:pt idx="521">
                  <c:v>17.776773452758789</c:v>
                </c:pt>
                <c:pt idx="522">
                  <c:v>17.790487289428711</c:v>
                </c:pt>
                <c:pt idx="523">
                  <c:v>17.808994293212891</c:v>
                </c:pt>
                <c:pt idx="524">
                  <c:v>17.856847763061523</c:v>
                </c:pt>
                <c:pt idx="525">
                  <c:v>17.873260498046875</c:v>
                </c:pt>
                <c:pt idx="526">
                  <c:v>17.880325317382813</c:v>
                </c:pt>
                <c:pt idx="527">
                  <c:v>17.929155349731445</c:v>
                </c:pt>
                <c:pt idx="528">
                  <c:v>17.950204849243164</c:v>
                </c:pt>
                <c:pt idx="529">
                  <c:v>17.95867919921875</c:v>
                </c:pt>
                <c:pt idx="530">
                  <c:v>17.976537704467773</c:v>
                </c:pt>
                <c:pt idx="531">
                  <c:v>17.995716094970703</c:v>
                </c:pt>
                <c:pt idx="532">
                  <c:v>18.024124145507813</c:v>
                </c:pt>
                <c:pt idx="533">
                  <c:v>18.089437484741211</c:v>
                </c:pt>
                <c:pt idx="534">
                  <c:v>18.10212516784668</c:v>
                </c:pt>
                <c:pt idx="535">
                  <c:v>18.276350021362305</c:v>
                </c:pt>
                <c:pt idx="536">
                  <c:v>18.315929412841797</c:v>
                </c:pt>
                <c:pt idx="537">
                  <c:v>18.453567504882813</c:v>
                </c:pt>
                <c:pt idx="538">
                  <c:v>18.844717025756836</c:v>
                </c:pt>
                <c:pt idx="539">
                  <c:v>18.902776718139648</c:v>
                </c:pt>
                <c:pt idx="540">
                  <c:v>20.061472831172662</c:v>
                </c:pt>
              </c:numCache>
            </c:numRef>
          </c:xVal>
          <c:yVal>
            <c:numRef>
              <c:f>Extrapolation!$L$12:$L$552</c:f>
              <c:numCache>
                <c:formatCode>General</c:formatCode>
                <c:ptCount val="541"/>
                <c:pt idx="0">
                  <c:v>0.95949654396459716</c:v>
                </c:pt>
                <c:pt idx="1">
                  <c:v>0.94340566245166213</c:v>
                </c:pt>
                <c:pt idx="2">
                  <c:v>0.9273147809387271</c:v>
                </c:pt>
                <c:pt idx="3">
                  <c:v>0.91122389942579207</c:v>
                </c:pt>
                <c:pt idx="4">
                  <c:v>0.89513301791285704</c:v>
                </c:pt>
                <c:pt idx="5">
                  <c:v>0.87904213639992201</c:v>
                </c:pt>
                <c:pt idx="6">
                  <c:v>0.86295125488698698</c:v>
                </c:pt>
                <c:pt idx="7">
                  <c:v>0.84686037337405196</c:v>
                </c:pt>
                <c:pt idx="8">
                  <c:v>0.83076949186111693</c:v>
                </c:pt>
                <c:pt idx="9">
                  <c:v>0.8146786103481819</c:v>
                </c:pt>
                <c:pt idx="10">
                  <c:v>0.79858772883524687</c:v>
                </c:pt>
                <c:pt idx="11">
                  <c:v>0.79857956577475153</c:v>
                </c:pt>
                <c:pt idx="12">
                  <c:v>0.7824886842618165</c:v>
                </c:pt>
                <c:pt idx="13">
                  <c:v>0.78248052120132117</c:v>
                </c:pt>
                <c:pt idx="14">
                  <c:v>0.76638963968838614</c:v>
                </c:pt>
                <c:pt idx="15">
                  <c:v>0.7663814766278908</c:v>
                </c:pt>
                <c:pt idx="16">
                  <c:v>0.76637331356739546</c:v>
                </c:pt>
                <c:pt idx="17">
                  <c:v>0.76636515050690013</c:v>
                </c:pt>
                <c:pt idx="18">
                  <c:v>0.7502742689939651</c:v>
                </c:pt>
                <c:pt idx="19">
                  <c:v>0.75026610593346976</c:v>
                </c:pt>
                <c:pt idx="20">
                  <c:v>0.73417522442053473</c:v>
                </c:pt>
                <c:pt idx="21">
                  <c:v>0.7341670613600394</c:v>
                </c:pt>
                <c:pt idx="22">
                  <c:v>0.73415889829954406</c:v>
                </c:pt>
                <c:pt idx="23">
                  <c:v>0.73415073523904872</c:v>
                </c:pt>
                <c:pt idx="24">
                  <c:v>0.73414257217855339</c:v>
                </c:pt>
                <c:pt idx="25">
                  <c:v>0.73413440911805805</c:v>
                </c:pt>
                <c:pt idx="26">
                  <c:v>0.73408987823025518</c:v>
                </c:pt>
                <c:pt idx="27">
                  <c:v>0.73408171516975984</c:v>
                </c:pt>
                <c:pt idx="28">
                  <c:v>0.7340735521092645</c:v>
                </c:pt>
                <c:pt idx="29">
                  <c:v>0.73406538904876917</c:v>
                </c:pt>
                <c:pt idx="30">
                  <c:v>0.73405722598827383</c:v>
                </c:pt>
                <c:pt idx="31">
                  <c:v>0.7340490629277785</c:v>
                </c:pt>
                <c:pt idx="32">
                  <c:v>0.73400453203997562</c:v>
                </c:pt>
                <c:pt idx="33">
                  <c:v>0.71791365052704059</c:v>
                </c:pt>
                <c:pt idx="34">
                  <c:v>0.71790548746654526</c:v>
                </c:pt>
                <c:pt idx="35">
                  <c:v>0.71789732440604992</c:v>
                </c:pt>
                <c:pt idx="36">
                  <c:v>0.71788916134555458</c:v>
                </c:pt>
                <c:pt idx="37">
                  <c:v>0.71788099828505925</c:v>
                </c:pt>
                <c:pt idx="38">
                  <c:v>0.71787283522456391</c:v>
                </c:pt>
                <c:pt idx="39">
                  <c:v>0.71786467216406857</c:v>
                </c:pt>
                <c:pt idx="40">
                  <c:v>0.71785650910357324</c:v>
                </c:pt>
                <c:pt idx="41">
                  <c:v>0.71781197821577036</c:v>
                </c:pt>
                <c:pt idx="42">
                  <c:v>0.71780381515527503</c:v>
                </c:pt>
                <c:pt idx="43">
                  <c:v>0.71779565209477969</c:v>
                </c:pt>
                <c:pt idx="44">
                  <c:v>0.71778748903428435</c:v>
                </c:pt>
                <c:pt idx="45">
                  <c:v>0.71777932597378902</c:v>
                </c:pt>
                <c:pt idx="46">
                  <c:v>0.71777116291329368</c:v>
                </c:pt>
                <c:pt idx="47">
                  <c:v>0.71776299985279834</c:v>
                </c:pt>
                <c:pt idx="48">
                  <c:v>0.71775483679230301</c:v>
                </c:pt>
                <c:pt idx="49">
                  <c:v>0.71774667373180767</c:v>
                </c:pt>
                <c:pt idx="50">
                  <c:v>0.7177021428440048</c:v>
                </c:pt>
                <c:pt idx="51">
                  <c:v>0.71769397978350946</c:v>
                </c:pt>
                <c:pt idx="52">
                  <c:v>0.71764944889570659</c:v>
                </c:pt>
                <c:pt idx="53">
                  <c:v>0.71764128583521125</c:v>
                </c:pt>
                <c:pt idx="54">
                  <c:v>0.71763312277471591</c:v>
                </c:pt>
                <c:pt idx="55">
                  <c:v>0.71762495971422058</c:v>
                </c:pt>
                <c:pt idx="56">
                  <c:v>0.7175804288264177</c:v>
                </c:pt>
                <c:pt idx="57">
                  <c:v>0.71757226576592237</c:v>
                </c:pt>
                <c:pt idx="58">
                  <c:v>0.71756410270542703</c:v>
                </c:pt>
                <c:pt idx="59">
                  <c:v>0.71751957181762416</c:v>
                </c:pt>
                <c:pt idx="60">
                  <c:v>0.71751140875712882</c:v>
                </c:pt>
                <c:pt idx="61">
                  <c:v>0.71746687786932595</c:v>
                </c:pt>
                <c:pt idx="62">
                  <c:v>0.71745871480883061</c:v>
                </c:pt>
                <c:pt idx="63">
                  <c:v>0.71745055174833527</c:v>
                </c:pt>
                <c:pt idx="64">
                  <c:v>0.71744238868783994</c:v>
                </c:pt>
                <c:pt idx="65">
                  <c:v>0.71739785780003706</c:v>
                </c:pt>
                <c:pt idx="66">
                  <c:v>0.71738969473954173</c:v>
                </c:pt>
                <c:pt idx="67">
                  <c:v>0.71738153167904639</c:v>
                </c:pt>
                <c:pt idx="68">
                  <c:v>0.71737336861855105</c:v>
                </c:pt>
                <c:pt idx="69">
                  <c:v>0.71736520555805572</c:v>
                </c:pt>
                <c:pt idx="70">
                  <c:v>0.71735704249756038</c:v>
                </c:pt>
                <c:pt idx="71">
                  <c:v>0.71734887943706505</c:v>
                </c:pt>
                <c:pt idx="72">
                  <c:v>0.71734071637656971</c:v>
                </c:pt>
                <c:pt idx="73">
                  <c:v>0.71733255331607437</c:v>
                </c:pt>
                <c:pt idx="74">
                  <c:v>0.7172880224282715</c:v>
                </c:pt>
                <c:pt idx="75">
                  <c:v>0.71727985936777616</c:v>
                </c:pt>
                <c:pt idx="76">
                  <c:v>0.71727169630728083</c:v>
                </c:pt>
                <c:pt idx="77">
                  <c:v>0.71726353324678549</c:v>
                </c:pt>
                <c:pt idx="78">
                  <c:v>0.71721900235898262</c:v>
                </c:pt>
                <c:pt idx="79">
                  <c:v>0.71717447147117974</c:v>
                </c:pt>
                <c:pt idx="80">
                  <c:v>0.71716630841068441</c:v>
                </c:pt>
                <c:pt idx="81">
                  <c:v>0.71715814535018907</c:v>
                </c:pt>
                <c:pt idx="82">
                  <c:v>0.71714998228969373</c:v>
                </c:pt>
                <c:pt idx="83">
                  <c:v>0.7171418192291984</c:v>
                </c:pt>
                <c:pt idx="84">
                  <c:v>0.71713365616870306</c:v>
                </c:pt>
                <c:pt idx="85">
                  <c:v>0.71712549310820772</c:v>
                </c:pt>
                <c:pt idx="86">
                  <c:v>0.71708096222040485</c:v>
                </c:pt>
                <c:pt idx="87">
                  <c:v>0.71707279915990951</c:v>
                </c:pt>
                <c:pt idx="88">
                  <c:v>0.71706463609941418</c:v>
                </c:pt>
                <c:pt idx="89">
                  <c:v>0.7170201052116113</c:v>
                </c:pt>
                <c:pt idx="90">
                  <c:v>0.71701194215111597</c:v>
                </c:pt>
                <c:pt idx="91">
                  <c:v>0.71696741126331309</c:v>
                </c:pt>
                <c:pt idx="92">
                  <c:v>0.71692288037551022</c:v>
                </c:pt>
                <c:pt idx="93">
                  <c:v>0.71687834948770734</c:v>
                </c:pt>
                <c:pt idx="94">
                  <c:v>0.71683381859990447</c:v>
                </c:pt>
                <c:pt idx="95">
                  <c:v>0.7167892877121016</c:v>
                </c:pt>
                <c:pt idx="96">
                  <c:v>0.71674475682429872</c:v>
                </c:pt>
                <c:pt idx="97">
                  <c:v>0.71670022593649585</c:v>
                </c:pt>
                <c:pt idx="98">
                  <c:v>0.71656223189327017</c:v>
                </c:pt>
                <c:pt idx="99">
                  <c:v>0.7165177010054673</c:v>
                </c:pt>
                <c:pt idx="100">
                  <c:v>0.71650953794497196</c:v>
                </c:pt>
                <c:pt idx="101">
                  <c:v>0.71646500705716909</c:v>
                </c:pt>
                <c:pt idx="102">
                  <c:v>0.71645684399667375</c:v>
                </c:pt>
                <c:pt idx="103">
                  <c:v>0.71644868093617842</c:v>
                </c:pt>
                <c:pt idx="104">
                  <c:v>0.71640415004837554</c:v>
                </c:pt>
                <c:pt idx="105">
                  <c:v>0.71639598698788021</c:v>
                </c:pt>
                <c:pt idx="106">
                  <c:v>0.71638782392738487</c:v>
                </c:pt>
                <c:pt idx="107">
                  <c:v>0.716343293039582</c:v>
                </c:pt>
                <c:pt idx="108">
                  <c:v>0.71633512997908666</c:v>
                </c:pt>
                <c:pt idx="109">
                  <c:v>0.71632696691859132</c:v>
                </c:pt>
                <c:pt idx="110">
                  <c:v>0.71631880385809599</c:v>
                </c:pt>
                <c:pt idx="111">
                  <c:v>0.71627427297029311</c:v>
                </c:pt>
                <c:pt idx="112">
                  <c:v>0.71613627892706744</c:v>
                </c:pt>
                <c:pt idx="113">
                  <c:v>0.71609174803926456</c:v>
                </c:pt>
                <c:pt idx="114">
                  <c:v>0.71608358497876923</c:v>
                </c:pt>
                <c:pt idx="115">
                  <c:v>0.71603905409096635</c:v>
                </c:pt>
                <c:pt idx="116">
                  <c:v>0.71603089103047102</c:v>
                </c:pt>
                <c:pt idx="117">
                  <c:v>0.71602272796997568</c:v>
                </c:pt>
                <c:pt idx="118">
                  <c:v>0.71597819708217281</c:v>
                </c:pt>
                <c:pt idx="119">
                  <c:v>0.71593366619436993</c:v>
                </c:pt>
                <c:pt idx="120">
                  <c:v>0.71579567215114426</c:v>
                </c:pt>
                <c:pt idx="121">
                  <c:v>0.71565767810791858</c:v>
                </c:pt>
                <c:pt idx="122">
                  <c:v>0.71551968406469291</c:v>
                </c:pt>
                <c:pt idx="123">
                  <c:v>0.71547515317689003</c:v>
                </c:pt>
                <c:pt idx="124">
                  <c:v>0.71533715913366436</c:v>
                </c:pt>
                <c:pt idx="125">
                  <c:v>0.71519916509043868</c:v>
                </c:pt>
                <c:pt idx="126">
                  <c:v>0.71515463420263581</c:v>
                </c:pt>
                <c:pt idx="127">
                  <c:v>0.71511010331483293</c:v>
                </c:pt>
                <c:pt idx="128">
                  <c:v>0.71506557242703006</c:v>
                </c:pt>
                <c:pt idx="129">
                  <c:v>0.71492757838380439</c:v>
                </c:pt>
                <c:pt idx="130">
                  <c:v>0.71488304749600151</c:v>
                </c:pt>
                <c:pt idx="131">
                  <c:v>0.71474505345277584</c:v>
                </c:pt>
                <c:pt idx="132">
                  <c:v>0.7147368903922805</c:v>
                </c:pt>
                <c:pt idx="133">
                  <c:v>0.71472872733178516</c:v>
                </c:pt>
                <c:pt idx="134">
                  <c:v>0.71468419644398229</c:v>
                </c:pt>
                <c:pt idx="135">
                  <c:v>0.71463966555617942</c:v>
                </c:pt>
                <c:pt idx="136">
                  <c:v>0.71459513466837654</c:v>
                </c:pt>
                <c:pt idx="137">
                  <c:v>0.71455060378057367</c:v>
                </c:pt>
                <c:pt idx="138">
                  <c:v>0.71441260973734799</c:v>
                </c:pt>
                <c:pt idx="139">
                  <c:v>0.71436807884954512</c:v>
                </c:pt>
                <c:pt idx="140">
                  <c:v>0.71435991578904978</c:v>
                </c:pt>
                <c:pt idx="141">
                  <c:v>0.71431538490124691</c:v>
                </c:pt>
                <c:pt idx="142">
                  <c:v>0.71430722184075157</c:v>
                </c:pt>
                <c:pt idx="143">
                  <c:v>0.7142626909529487</c:v>
                </c:pt>
                <c:pt idx="144">
                  <c:v>0.71425452789245336</c:v>
                </c:pt>
                <c:pt idx="145">
                  <c:v>0.71420999700465049</c:v>
                </c:pt>
                <c:pt idx="146">
                  <c:v>0.71416546611684761</c:v>
                </c:pt>
                <c:pt idx="147">
                  <c:v>0.71412093522904474</c:v>
                </c:pt>
                <c:pt idx="148">
                  <c:v>0.71407640434124187</c:v>
                </c:pt>
                <c:pt idx="149">
                  <c:v>0.71393841029801619</c:v>
                </c:pt>
                <c:pt idx="150">
                  <c:v>0.71389387941021332</c:v>
                </c:pt>
                <c:pt idx="151">
                  <c:v>0.71384934852241044</c:v>
                </c:pt>
                <c:pt idx="152">
                  <c:v>0.71380481763460757</c:v>
                </c:pt>
                <c:pt idx="153">
                  <c:v>0.7137602867468047</c:v>
                </c:pt>
                <c:pt idx="154">
                  <c:v>0.71371575585900182</c:v>
                </c:pt>
                <c:pt idx="155">
                  <c:v>0.71370759279850648</c:v>
                </c:pt>
                <c:pt idx="156">
                  <c:v>0.71366306191070361</c:v>
                </c:pt>
                <c:pt idx="157">
                  <c:v>0.71361853102290074</c:v>
                </c:pt>
                <c:pt idx="158">
                  <c:v>0.71357400013509786</c:v>
                </c:pt>
                <c:pt idx="159">
                  <c:v>0.71352946924729499</c:v>
                </c:pt>
                <c:pt idx="160">
                  <c:v>0.71339147520406931</c:v>
                </c:pt>
                <c:pt idx="161">
                  <c:v>0.71334694431626644</c:v>
                </c:pt>
                <c:pt idx="162">
                  <c:v>0.7133387812557711</c:v>
                </c:pt>
                <c:pt idx="163">
                  <c:v>0.71329425036796823</c:v>
                </c:pt>
                <c:pt idx="164">
                  <c:v>0.71328608730747289</c:v>
                </c:pt>
                <c:pt idx="165">
                  <c:v>0.71314809326424722</c:v>
                </c:pt>
                <c:pt idx="166">
                  <c:v>0.71310356237644434</c:v>
                </c:pt>
                <c:pt idx="167">
                  <c:v>0.71296556833321867</c:v>
                </c:pt>
                <c:pt idx="168">
                  <c:v>0.71282757428999299</c:v>
                </c:pt>
                <c:pt idx="169">
                  <c:v>0.71268958024676732</c:v>
                </c:pt>
                <c:pt idx="170">
                  <c:v>0.71255158620354164</c:v>
                </c:pt>
                <c:pt idx="171">
                  <c:v>0.71250705531573877</c:v>
                </c:pt>
                <c:pt idx="172">
                  <c:v>0.71246252442793589</c:v>
                </c:pt>
                <c:pt idx="173">
                  <c:v>0.71241799354013302</c:v>
                </c:pt>
                <c:pt idx="174">
                  <c:v>0.71237346265233015</c:v>
                </c:pt>
                <c:pt idx="175">
                  <c:v>0.71223546860910447</c:v>
                </c:pt>
                <c:pt idx="176">
                  <c:v>0.7121909377213016</c:v>
                </c:pt>
                <c:pt idx="177">
                  <c:v>0.71214640683349872</c:v>
                </c:pt>
                <c:pt idx="178">
                  <c:v>0.71200841279027305</c:v>
                </c:pt>
                <c:pt idx="179">
                  <c:v>0.71187041874704737</c:v>
                </c:pt>
                <c:pt idx="180">
                  <c:v>0.7118258878592445</c:v>
                </c:pt>
                <c:pt idx="181">
                  <c:v>0.71168789381601882</c:v>
                </c:pt>
                <c:pt idx="182">
                  <c:v>0.71164336292821595</c:v>
                </c:pt>
                <c:pt idx="183">
                  <c:v>0.71163519986772061</c:v>
                </c:pt>
                <c:pt idx="184">
                  <c:v>0.71162703680722528</c:v>
                </c:pt>
                <c:pt idx="185">
                  <c:v>0.7115825059194224</c:v>
                </c:pt>
                <c:pt idx="186">
                  <c:v>0.71144451187619673</c:v>
                </c:pt>
                <c:pt idx="187">
                  <c:v>0.71143634881570139</c:v>
                </c:pt>
                <c:pt idx="188">
                  <c:v>0.71139181792789852</c:v>
                </c:pt>
                <c:pt idx="189">
                  <c:v>0.71125382388467284</c:v>
                </c:pt>
                <c:pt idx="190">
                  <c:v>0.71111582984144717</c:v>
                </c:pt>
                <c:pt idx="191">
                  <c:v>0.71110766678095183</c:v>
                </c:pt>
                <c:pt idx="192">
                  <c:v>0.71096967273772615</c:v>
                </c:pt>
                <c:pt idx="193">
                  <c:v>0.71083167869450048</c:v>
                </c:pt>
                <c:pt idx="194">
                  <c:v>0.71078714780669761</c:v>
                </c:pt>
                <c:pt idx="195">
                  <c:v>0.71064915376347193</c:v>
                </c:pt>
                <c:pt idx="196">
                  <c:v>0.71051115972024625</c:v>
                </c:pt>
                <c:pt idx="197">
                  <c:v>0.71046662883244338</c:v>
                </c:pt>
                <c:pt idx="198">
                  <c:v>0.71032863478921771</c:v>
                </c:pt>
                <c:pt idx="199">
                  <c:v>0.71032047172872237</c:v>
                </c:pt>
                <c:pt idx="200">
                  <c:v>0.71018247768549669</c:v>
                </c:pt>
                <c:pt idx="201">
                  <c:v>0.71004448364227102</c:v>
                </c:pt>
                <c:pt idx="202">
                  <c:v>0.70999995275446814</c:v>
                </c:pt>
                <c:pt idx="203">
                  <c:v>0.70986195871124247</c:v>
                </c:pt>
                <c:pt idx="204">
                  <c:v>0.7098174278234396</c:v>
                </c:pt>
                <c:pt idx="205">
                  <c:v>0.70967943378021392</c:v>
                </c:pt>
                <c:pt idx="206">
                  <c:v>0.70963490289241105</c:v>
                </c:pt>
                <c:pt idx="207">
                  <c:v>0.70962673983191571</c:v>
                </c:pt>
                <c:pt idx="208">
                  <c:v>0.70958220894411284</c:v>
                </c:pt>
                <c:pt idx="209">
                  <c:v>0.70944421490088716</c:v>
                </c:pt>
                <c:pt idx="210">
                  <c:v>0.70930622085766148</c:v>
                </c:pt>
                <c:pt idx="211">
                  <c:v>0.70929805779716615</c:v>
                </c:pt>
                <c:pt idx="212">
                  <c:v>0.70925352690936327</c:v>
                </c:pt>
                <c:pt idx="213">
                  <c:v>0.7091155328661376</c:v>
                </c:pt>
                <c:pt idx="214">
                  <c:v>0.70907100197833473</c:v>
                </c:pt>
                <c:pt idx="215">
                  <c:v>0.70893300793510905</c:v>
                </c:pt>
                <c:pt idx="216">
                  <c:v>0.70879501389188337</c:v>
                </c:pt>
                <c:pt idx="217">
                  <c:v>0.7086570198486577</c:v>
                </c:pt>
                <c:pt idx="218">
                  <c:v>0.70851902580543202</c:v>
                </c:pt>
                <c:pt idx="219">
                  <c:v>0.70838103176220635</c:v>
                </c:pt>
                <c:pt idx="220">
                  <c:v>0.70833650087440347</c:v>
                </c:pt>
                <c:pt idx="221">
                  <c:v>0.7081985068311778</c:v>
                </c:pt>
                <c:pt idx="222">
                  <c:v>0.70806051278795212</c:v>
                </c:pt>
                <c:pt idx="223">
                  <c:v>0.70801598190014925</c:v>
                </c:pt>
                <c:pt idx="224">
                  <c:v>0.70787798785692357</c:v>
                </c:pt>
                <c:pt idx="225">
                  <c:v>0.7077399938136979</c:v>
                </c:pt>
                <c:pt idx="226">
                  <c:v>0.70760199977047222</c:v>
                </c:pt>
                <c:pt idx="227">
                  <c:v>0.70759383670997689</c:v>
                </c:pt>
                <c:pt idx="228">
                  <c:v>0.70758567364948155</c:v>
                </c:pt>
                <c:pt idx="229">
                  <c:v>0.70744767960625587</c:v>
                </c:pt>
                <c:pt idx="230">
                  <c:v>0.7073096855630302</c:v>
                </c:pt>
                <c:pt idx="231">
                  <c:v>0.70717169151980452</c:v>
                </c:pt>
                <c:pt idx="232">
                  <c:v>0.70703369747657885</c:v>
                </c:pt>
                <c:pt idx="233">
                  <c:v>0.70689570343335317</c:v>
                </c:pt>
                <c:pt idx="234">
                  <c:v>0.7067577093901275</c:v>
                </c:pt>
                <c:pt idx="235">
                  <c:v>0.70671317850232462</c:v>
                </c:pt>
                <c:pt idx="236">
                  <c:v>0.70666864761452175</c:v>
                </c:pt>
                <c:pt idx="237">
                  <c:v>0.70653065357129607</c:v>
                </c:pt>
                <c:pt idx="238">
                  <c:v>0.7063926595280704</c:v>
                </c:pt>
                <c:pt idx="239">
                  <c:v>0.70625466548484472</c:v>
                </c:pt>
                <c:pt idx="240">
                  <c:v>0.70611667144161905</c:v>
                </c:pt>
                <c:pt idx="241">
                  <c:v>0.70597867739839337</c:v>
                </c:pt>
                <c:pt idx="242">
                  <c:v>0.7058406833551677</c:v>
                </c:pt>
                <c:pt idx="243">
                  <c:v>0.70579615246736482</c:v>
                </c:pt>
                <c:pt idx="244">
                  <c:v>0.70565815842413915</c:v>
                </c:pt>
                <c:pt idx="245">
                  <c:v>0.70552016438091347</c:v>
                </c:pt>
                <c:pt idx="246">
                  <c:v>0.7054756334931106</c:v>
                </c:pt>
                <c:pt idx="247">
                  <c:v>0.70543110260530772</c:v>
                </c:pt>
                <c:pt idx="248">
                  <c:v>0.70529310856208205</c:v>
                </c:pt>
                <c:pt idx="249">
                  <c:v>0.70515511451885637</c:v>
                </c:pt>
                <c:pt idx="250">
                  <c:v>0.70461299844828629</c:v>
                </c:pt>
                <c:pt idx="251">
                  <c:v>0.70456846756048341</c:v>
                </c:pt>
                <c:pt idx="252">
                  <c:v>0.70443047351725774</c:v>
                </c:pt>
                <c:pt idx="253">
                  <c:v>0.7044223104567624</c:v>
                </c:pt>
                <c:pt idx="254">
                  <c:v>0.70428431641353673</c:v>
                </c:pt>
                <c:pt idx="255">
                  <c:v>0.70414632237031105</c:v>
                </c:pt>
                <c:pt idx="256">
                  <c:v>0.70360420629974096</c:v>
                </c:pt>
                <c:pt idx="257">
                  <c:v>0.70346621225651529</c:v>
                </c:pt>
                <c:pt idx="258">
                  <c:v>0.70342168136871241</c:v>
                </c:pt>
                <c:pt idx="259">
                  <c:v>0.70328368732548674</c:v>
                </c:pt>
                <c:pt idx="260">
                  <c:v>0.70314569328226106</c:v>
                </c:pt>
                <c:pt idx="261">
                  <c:v>0.70300769923903539</c:v>
                </c:pt>
                <c:pt idx="262">
                  <c:v>0.70296316835123251</c:v>
                </c:pt>
                <c:pt idx="263">
                  <c:v>0.70242105228066243</c:v>
                </c:pt>
                <c:pt idx="264">
                  <c:v>0.70228305823743675</c:v>
                </c:pt>
                <c:pt idx="265">
                  <c:v>0.70174094216686667</c:v>
                </c:pt>
                <c:pt idx="266">
                  <c:v>0.70169641127906379</c:v>
                </c:pt>
                <c:pt idx="267">
                  <c:v>0.70155841723583812</c:v>
                </c:pt>
                <c:pt idx="268">
                  <c:v>0.70142042319261244</c:v>
                </c:pt>
                <c:pt idx="269">
                  <c:v>0.70087830712204235</c:v>
                </c:pt>
                <c:pt idx="270">
                  <c:v>0.70074031307881668</c:v>
                </c:pt>
                <c:pt idx="271">
                  <c:v>0.700602319035591</c:v>
                </c:pt>
                <c:pt idx="272">
                  <c:v>0.70046432499236533</c:v>
                </c:pt>
                <c:pt idx="273">
                  <c:v>0.70041979410456245</c:v>
                </c:pt>
                <c:pt idx="274">
                  <c:v>0.70028180006133678</c:v>
                </c:pt>
                <c:pt idx="275">
                  <c:v>0.7001438060181111</c:v>
                </c:pt>
                <c:pt idx="276">
                  <c:v>0.70000581197488543</c:v>
                </c:pt>
                <c:pt idx="277">
                  <c:v>0.69986781793165975</c:v>
                </c:pt>
                <c:pt idx="278">
                  <c:v>0.69972982388843408</c:v>
                </c:pt>
                <c:pt idx="279">
                  <c:v>0.6995918298452084</c:v>
                </c:pt>
                <c:pt idx="280">
                  <c:v>0.69904971377463831</c:v>
                </c:pt>
                <c:pt idx="281">
                  <c:v>0.69850759770406823</c:v>
                </c:pt>
                <c:pt idx="282">
                  <c:v>0.69836960366084255</c:v>
                </c:pt>
                <c:pt idx="283">
                  <c:v>0.69782748759027247</c:v>
                </c:pt>
                <c:pt idx="284">
                  <c:v>0.69778295670246959</c:v>
                </c:pt>
                <c:pt idx="285">
                  <c:v>0.69764496265924392</c:v>
                </c:pt>
                <c:pt idx="286">
                  <c:v>0.69710284658867383</c:v>
                </c:pt>
                <c:pt idx="287">
                  <c:v>0.69656073051810374</c:v>
                </c:pt>
                <c:pt idx="288">
                  <c:v>0.69642273647487807</c:v>
                </c:pt>
                <c:pt idx="289">
                  <c:v>0.69588062040430798</c:v>
                </c:pt>
                <c:pt idx="290">
                  <c:v>0.69574262636108231</c:v>
                </c:pt>
                <c:pt idx="291">
                  <c:v>0.69520051029051222</c:v>
                </c:pt>
                <c:pt idx="292">
                  <c:v>0.69465839421994213</c:v>
                </c:pt>
                <c:pt idx="293">
                  <c:v>0.69452040017671646</c:v>
                </c:pt>
                <c:pt idx="294">
                  <c:v>0.69438240613349078</c:v>
                </c:pt>
                <c:pt idx="295">
                  <c:v>0.69384029006292069</c:v>
                </c:pt>
                <c:pt idx="296">
                  <c:v>0.69329817399235061</c:v>
                </c:pt>
                <c:pt idx="297">
                  <c:v>0.69316017994912493</c:v>
                </c:pt>
                <c:pt idx="298">
                  <c:v>0.69302218590589926</c:v>
                </c:pt>
                <c:pt idx="299">
                  <c:v>0.69288419186267358</c:v>
                </c:pt>
                <c:pt idx="300">
                  <c:v>0.6923420757921035</c:v>
                </c:pt>
                <c:pt idx="301">
                  <c:v>0.69179995972153341</c:v>
                </c:pt>
                <c:pt idx="302">
                  <c:v>0.69125784365096332</c:v>
                </c:pt>
                <c:pt idx="303">
                  <c:v>0.69071572758039324</c:v>
                </c:pt>
                <c:pt idx="304">
                  <c:v>0.69017361150982315</c:v>
                </c:pt>
                <c:pt idx="305">
                  <c:v>0.68963149543925306</c:v>
                </c:pt>
                <c:pt idx="306">
                  <c:v>0.67291278899874107</c:v>
                </c:pt>
                <c:pt idx="307">
                  <c:v>0.67237067292817099</c:v>
                </c:pt>
                <c:pt idx="308">
                  <c:v>0.655651966487659</c:v>
                </c:pt>
                <c:pt idx="309">
                  <c:v>0.63893326004714701</c:v>
                </c:pt>
                <c:pt idx="310">
                  <c:v>0.62221455360663502</c:v>
                </c:pt>
                <c:pt idx="311">
                  <c:v>0.62167243753606494</c:v>
                </c:pt>
                <c:pt idx="312">
                  <c:v>0.62113032146549485</c:v>
                </c:pt>
                <c:pt idx="313">
                  <c:v>0.62058820539492476</c:v>
                </c:pt>
                <c:pt idx="314">
                  <c:v>0.62004608932435468</c:v>
                </c:pt>
                <c:pt idx="315">
                  <c:v>0.61950397325378459</c:v>
                </c:pt>
                <c:pt idx="316">
                  <c:v>0.6189618571832145</c:v>
                </c:pt>
                <c:pt idx="317">
                  <c:v>0.60224315074270252</c:v>
                </c:pt>
                <c:pt idx="318">
                  <c:v>0.60170103467213243</c:v>
                </c:pt>
                <c:pt idx="319">
                  <c:v>0.58498232823162044</c:v>
                </c:pt>
                <c:pt idx="320">
                  <c:v>0.58444021216105035</c:v>
                </c:pt>
                <c:pt idx="321">
                  <c:v>0.58389809609048027</c:v>
                </c:pt>
                <c:pt idx="322">
                  <c:v>0.58335598001991018</c:v>
                </c:pt>
                <c:pt idx="323">
                  <c:v>0.58281386394934009</c:v>
                </c:pt>
                <c:pt idx="324">
                  <c:v>0.56609515750882811</c:v>
                </c:pt>
                <c:pt idx="325">
                  <c:v>0.56555304143825802</c:v>
                </c:pt>
                <c:pt idx="326">
                  <c:v>0.56501092536768793</c:v>
                </c:pt>
                <c:pt idx="327">
                  <c:v>0.56446880929711785</c:v>
                </c:pt>
                <c:pt idx="328">
                  <c:v>0.56392669322654776</c:v>
                </c:pt>
                <c:pt idx="329">
                  <c:v>0.56338457715597767</c:v>
                </c:pt>
                <c:pt idx="330">
                  <c:v>0.56284246108540759</c:v>
                </c:pt>
                <c:pt idx="331">
                  <c:v>0.5623003450148375</c:v>
                </c:pt>
                <c:pt idx="332">
                  <c:v>0.56175822894426741</c:v>
                </c:pt>
                <c:pt idx="333">
                  <c:v>0.56121611287369733</c:v>
                </c:pt>
                <c:pt idx="334">
                  <c:v>0.56067399680312724</c:v>
                </c:pt>
                <c:pt idx="335">
                  <c:v>0.56013188073255715</c:v>
                </c:pt>
                <c:pt idx="336">
                  <c:v>0.55958976466198707</c:v>
                </c:pt>
                <c:pt idx="337">
                  <c:v>0.55904764859141698</c:v>
                </c:pt>
                <c:pt idx="338">
                  <c:v>0.55850553252084689</c:v>
                </c:pt>
                <c:pt idx="339">
                  <c:v>0.55729818948917587</c:v>
                </c:pt>
                <c:pt idx="340">
                  <c:v>0.55675607341860578</c:v>
                </c:pt>
                <c:pt idx="341">
                  <c:v>0.55621395734803569</c:v>
                </c:pt>
                <c:pt idx="342">
                  <c:v>0.55567184127746561</c:v>
                </c:pt>
                <c:pt idx="343">
                  <c:v>0.53895313483695362</c:v>
                </c:pt>
                <c:pt idx="344">
                  <c:v>0.53841101876638353</c:v>
                </c:pt>
                <c:pt idx="345">
                  <c:v>0.53786890269581344</c:v>
                </c:pt>
                <c:pt idx="346">
                  <c:v>0.53782437180801057</c:v>
                </c:pt>
                <c:pt idx="347">
                  <c:v>0.52110566536749858</c:v>
                </c:pt>
                <c:pt idx="348">
                  <c:v>0.50438695892698659</c:v>
                </c:pt>
                <c:pt idx="349">
                  <c:v>0.50384484285641651</c:v>
                </c:pt>
                <c:pt idx="350">
                  <c:v>0.50263749982474548</c:v>
                </c:pt>
                <c:pt idx="351">
                  <c:v>0.48591879338423349</c:v>
                </c:pt>
                <c:pt idx="352">
                  <c:v>0.48537667731366341</c:v>
                </c:pt>
                <c:pt idx="353">
                  <c:v>0.48483456124309332</c:v>
                </c:pt>
                <c:pt idx="354">
                  <c:v>0.46811585480258139</c:v>
                </c:pt>
                <c:pt idx="355">
                  <c:v>0.45139714836206946</c:v>
                </c:pt>
                <c:pt idx="356">
                  <c:v>0.45018980533039848</c:v>
                </c:pt>
                <c:pt idx="357">
                  <c:v>0.44898246229872751</c:v>
                </c:pt>
                <c:pt idx="358">
                  <c:v>0.44777511926705654</c:v>
                </c:pt>
                <c:pt idx="359">
                  <c:v>0.44656777623538557</c:v>
                </c:pt>
                <c:pt idx="360">
                  <c:v>0.42984906979487364</c:v>
                </c:pt>
                <c:pt idx="361">
                  <c:v>0.42864172676320267</c:v>
                </c:pt>
                <c:pt idx="362">
                  <c:v>0.4274343837315317</c:v>
                </c:pt>
                <c:pt idx="363">
                  <c:v>0.42689226766096161</c:v>
                </c:pt>
                <c:pt idx="364">
                  <c:v>0.42568492462929064</c:v>
                </c:pt>
                <c:pt idx="365">
                  <c:v>0.42447758159761967</c:v>
                </c:pt>
                <c:pt idx="366">
                  <c:v>0.4232702385659487</c:v>
                </c:pt>
                <c:pt idx="367">
                  <c:v>0.42272812249537861</c:v>
                </c:pt>
                <c:pt idx="368">
                  <c:v>0.41923133186242734</c:v>
                </c:pt>
                <c:pt idx="369">
                  <c:v>0.4025126254219154</c:v>
                </c:pt>
                <c:pt idx="370">
                  <c:v>0.40130528239024443</c:v>
                </c:pt>
                <c:pt idx="371">
                  <c:v>0.40076316631967435</c:v>
                </c:pt>
                <c:pt idx="372">
                  <c:v>0.39955582328800338</c:v>
                </c:pt>
                <c:pt idx="373">
                  <c:v>0.3983484802563324</c:v>
                </c:pt>
                <c:pt idx="374">
                  <c:v>0.39714113722466143</c:v>
                </c:pt>
                <c:pt idx="375">
                  <c:v>0.39593379419299046</c:v>
                </c:pt>
                <c:pt idx="376">
                  <c:v>0.39472645116131949</c:v>
                </c:pt>
                <c:pt idx="377">
                  <c:v>0.39351910812964852</c:v>
                </c:pt>
                <c:pt idx="378">
                  <c:v>0.39231176509797755</c:v>
                </c:pt>
                <c:pt idx="379">
                  <c:v>0.39110442206630658</c:v>
                </c:pt>
                <c:pt idx="380">
                  <c:v>0.38989707903463561</c:v>
                </c:pt>
                <c:pt idx="381">
                  <c:v>0.38935496296406552</c:v>
                </c:pt>
                <c:pt idx="382">
                  <c:v>0.38814761993239455</c:v>
                </c:pt>
                <c:pt idx="383">
                  <c:v>0.38694027690072358</c:v>
                </c:pt>
                <c:pt idx="384">
                  <c:v>0.3834434862677723</c:v>
                </c:pt>
                <c:pt idx="385">
                  <c:v>0.38118655591253559</c:v>
                </c:pt>
                <c:pt idx="386">
                  <c:v>0.37997921288086461</c:v>
                </c:pt>
                <c:pt idx="387">
                  <c:v>0.37877186984919364</c:v>
                </c:pt>
                <c:pt idx="388">
                  <c:v>0.37756452681752267</c:v>
                </c:pt>
                <c:pt idx="389">
                  <c:v>0.3763571837858517</c:v>
                </c:pt>
                <c:pt idx="390">
                  <c:v>0.37514984075418073</c:v>
                </c:pt>
                <c:pt idx="391">
                  <c:v>0.37394249772250976</c:v>
                </c:pt>
                <c:pt idx="392">
                  <c:v>0.37044570708955848</c:v>
                </c:pt>
                <c:pt idx="393">
                  <c:v>0.36818877673432177</c:v>
                </c:pt>
                <c:pt idx="394">
                  <c:v>0.36698143370265079</c:v>
                </c:pt>
                <c:pt idx="395">
                  <c:v>0.36577409067097982</c:v>
                </c:pt>
                <c:pt idx="396">
                  <c:v>0.3635171603157431</c:v>
                </c:pt>
                <c:pt idx="397">
                  <c:v>0.36230981728407213</c:v>
                </c:pt>
                <c:pt idx="398">
                  <c:v>0.36110247425240116</c:v>
                </c:pt>
                <c:pt idx="399">
                  <c:v>0.35989513122073019</c:v>
                </c:pt>
                <c:pt idx="400">
                  <c:v>0.35763820086549347</c:v>
                </c:pt>
                <c:pt idx="401">
                  <c:v>0.3564308578338225</c:v>
                </c:pt>
                <c:pt idx="402">
                  <c:v>0.35522351480215153</c:v>
                </c:pt>
                <c:pt idx="403">
                  <c:v>0.35401617177048056</c:v>
                </c:pt>
                <c:pt idx="404">
                  <c:v>0.35280882873880959</c:v>
                </c:pt>
                <c:pt idx="405">
                  <c:v>0.34931203810585831</c:v>
                </c:pt>
                <c:pt idx="406">
                  <c:v>0.34705510775062159</c:v>
                </c:pt>
                <c:pt idx="407">
                  <c:v>0.34355831711767032</c:v>
                </c:pt>
                <c:pt idx="408">
                  <c:v>0.3413013867624336</c:v>
                </c:pt>
                <c:pt idx="409">
                  <c:v>0.33780459612948233</c:v>
                </c:pt>
                <c:pt idx="410">
                  <c:v>0.33554766577424561</c:v>
                </c:pt>
                <c:pt idx="411">
                  <c:v>0.33329073541900889</c:v>
                </c:pt>
                <c:pt idx="412">
                  <c:v>0.32979394478605761</c:v>
                </c:pt>
                <c:pt idx="413">
                  <c:v>0.32629715415310634</c:v>
                </c:pt>
                <c:pt idx="414">
                  <c:v>0.32280036352015506</c:v>
                </c:pt>
                <c:pt idx="415">
                  <c:v>0.32159302048848409</c:v>
                </c:pt>
                <c:pt idx="416">
                  <c:v>0.32038567745681312</c:v>
                </c:pt>
                <c:pt idx="417">
                  <c:v>0.3181287471015764</c:v>
                </c:pt>
                <c:pt idx="418">
                  <c:v>0.31692140406990543</c:v>
                </c:pt>
                <c:pt idx="419">
                  <c:v>0.31571406103823446</c:v>
                </c:pt>
                <c:pt idx="420">
                  <c:v>0.31221727040528319</c:v>
                </c:pt>
                <c:pt idx="421">
                  <c:v>0.30872047977233191</c:v>
                </c:pt>
                <c:pt idx="422">
                  <c:v>0.30522368913938064</c:v>
                </c:pt>
                <c:pt idx="423">
                  <c:v>0.30172689850642936</c:v>
                </c:pt>
                <c:pt idx="424">
                  <c:v>0.30051955547475839</c:v>
                </c:pt>
                <c:pt idx="425">
                  <c:v>0.29826262511952167</c:v>
                </c:pt>
                <c:pt idx="426">
                  <c:v>0.2970552820878507</c:v>
                </c:pt>
                <c:pt idx="427">
                  <c:v>0.29355849145489943</c:v>
                </c:pt>
                <c:pt idx="428">
                  <c:v>0.29130156109966271</c:v>
                </c:pt>
                <c:pt idx="429">
                  <c:v>0.28904463074442599</c:v>
                </c:pt>
                <c:pt idx="430">
                  <c:v>0.28678770038918927</c:v>
                </c:pt>
                <c:pt idx="431">
                  <c:v>0.283290909756238</c:v>
                </c:pt>
                <c:pt idx="432">
                  <c:v>0.28208356672456703</c:v>
                </c:pt>
                <c:pt idx="433">
                  <c:v>0.27982663636933031</c:v>
                </c:pt>
                <c:pt idx="434">
                  <c:v>0.27756970601409359</c:v>
                </c:pt>
                <c:pt idx="435">
                  <c:v>0.27407291538114231</c:v>
                </c:pt>
                <c:pt idx="436">
                  <c:v>0.27286557234947134</c:v>
                </c:pt>
                <c:pt idx="437">
                  <c:v>0.26936878171652007</c:v>
                </c:pt>
                <c:pt idx="438">
                  <c:v>0.26587199108356879</c:v>
                </c:pt>
                <c:pt idx="439">
                  <c:v>0.26466464805189782</c:v>
                </c:pt>
                <c:pt idx="440">
                  <c:v>0.2624077176966611</c:v>
                </c:pt>
                <c:pt idx="441">
                  <c:v>0.26015078734142438</c:v>
                </c:pt>
                <c:pt idx="442">
                  <c:v>0.25894344430975341</c:v>
                </c:pt>
                <c:pt idx="443">
                  <c:v>0.25668651395451669</c:v>
                </c:pt>
                <c:pt idx="444">
                  <c:v>0.25318972332156542</c:v>
                </c:pt>
                <c:pt idx="445">
                  <c:v>0.25198238028989445</c:v>
                </c:pt>
                <c:pt idx="446">
                  <c:v>0.25144026421932436</c:v>
                </c:pt>
                <c:pt idx="447">
                  <c:v>0.24918333386408764</c:v>
                </c:pt>
                <c:pt idx="448">
                  <c:v>0.24692640350885095</c:v>
                </c:pt>
                <c:pt idx="449">
                  <c:v>0.24342961287589968</c:v>
                </c:pt>
                <c:pt idx="450">
                  <c:v>0.24117268252066298</c:v>
                </c:pt>
                <c:pt idx="451">
                  <c:v>0.23996533948899199</c:v>
                </c:pt>
                <c:pt idx="452">
                  <c:v>0.23875799645732099</c:v>
                </c:pt>
                <c:pt idx="453">
                  <c:v>0.23526120582436971</c:v>
                </c:pt>
                <c:pt idx="454">
                  <c:v>0.23176441519141844</c:v>
                </c:pt>
                <c:pt idx="455">
                  <c:v>0.22950748483618175</c:v>
                </c:pt>
                <c:pt idx="456">
                  <c:v>0.22725055448094506</c:v>
                </c:pt>
                <c:pt idx="457">
                  <c:v>0.22375376384799378</c:v>
                </c:pt>
                <c:pt idx="458">
                  <c:v>0.22254642081632278</c:v>
                </c:pt>
                <c:pt idx="459">
                  <c:v>0.22028949046108609</c:v>
                </c:pt>
                <c:pt idx="460">
                  <c:v>0.21679269982813482</c:v>
                </c:pt>
                <c:pt idx="461">
                  <c:v>0.21329590919518354</c:v>
                </c:pt>
                <c:pt idx="462">
                  <c:v>0.21103897883994685</c:v>
                </c:pt>
                <c:pt idx="463">
                  <c:v>0.20878204848471016</c:v>
                </c:pt>
                <c:pt idx="464">
                  <c:v>0.20528525785175888</c:v>
                </c:pt>
                <c:pt idx="465">
                  <c:v>0.20302832749652219</c:v>
                </c:pt>
                <c:pt idx="466">
                  <c:v>0.19953153686357092</c:v>
                </c:pt>
                <c:pt idx="467">
                  <c:v>0.19603474623061964</c:v>
                </c:pt>
                <c:pt idx="468">
                  <c:v>0.19253795559766837</c:v>
                </c:pt>
                <c:pt idx="469">
                  <c:v>0.1890411649647171</c:v>
                </c:pt>
                <c:pt idx="470">
                  <c:v>0.18554437433176582</c:v>
                </c:pt>
                <c:pt idx="471">
                  <c:v>0.18204758369881455</c:v>
                </c:pt>
                <c:pt idx="472">
                  <c:v>0.17855079306586327</c:v>
                </c:pt>
                <c:pt idx="473">
                  <c:v>0.175054002432912</c:v>
                </c:pt>
                <c:pt idx="474">
                  <c:v>0.17279707207767531</c:v>
                </c:pt>
                <c:pt idx="475">
                  <c:v>0.17054014172243862</c:v>
                </c:pt>
                <c:pt idx="476">
                  <c:v>0.16828321136720192</c:v>
                </c:pt>
                <c:pt idx="477">
                  <c:v>0.16602628101196523</c:v>
                </c:pt>
                <c:pt idx="478">
                  <c:v>0.16252949037901396</c:v>
                </c:pt>
                <c:pt idx="479">
                  <c:v>0.16132214734734296</c:v>
                </c:pt>
                <c:pt idx="480">
                  <c:v>0.15782535671439168</c:v>
                </c:pt>
                <c:pt idx="481">
                  <c:v>0.15556842635915499</c:v>
                </c:pt>
                <c:pt idx="482">
                  <c:v>0.15207163572620372</c:v>
                </c:pt>
                <c:pt idx="483">
                  <c:v>0.14857484509325244</c:v>
                </c:pt>
                <c:pt idx="484">
                  <c:v>0.14507805446030117</c:v>
                </c:pt>
                <c:pt idx="485">
                  <c:v>0.14282112410506448</c:v>
                </c:pt>
                <c:pt idx="486">
                  <c:v>0.14056419374982779</c:v>
                </c:pt>
                <c:pt idx="487">
                  <c:v>0.1383072633945911</c:v>
                </c:pt>
                <c:pt idx="488">
                  <c:v>0.13481047276163982</c:v>
                </c:pt>
                <c:pt idx="489">
                  <c:v>0.13255354240640313</c:v>
                </c:pt>
                <c:pt idx="490">
                  <c:v>0.12905675177345186</c:v>
                </c:pt>
                <c:pt idx="491">
                  <c:v>0.12679982141821516</c:v>
                </c:pt>
                <c:pt idx="492">
                  <c:v>0.12330303078526389</c:v>
                </c:pt>
                <c:pt idx="493">
                  <c:v>0.12209568775359289</c:v>
                </c:pt>
                <c:pt idx="494">
                  <c:v>0.1198387573983562</c:v>
                </c:pt>
                <c:pt idx="495">
                  <c:v>0.11758182704311951</c:v>
                </c:pt>
                <c:pt idx="496">
                  <c:v>0.11408503641016823</c:v>
                </c:pt>
                <c:pt idx="497">
                  <c:v>0.11182810605493154</c:v>
                </c:pt>
                <c:pt idx="498">
                  <c:v>0.10833131542198027</c:v>
                </c:pt>
                <c:pt idx="499">
                  <c:v>0.10607438506674358</c:v>
                </c:pt>
                <c:pt idx="500">
                  <c:v>0.1025775944337923</c:v>
                </c:pt>
                <c:pt idx="501">
                  <c:v>9.9080803800841027E-2</c:v>
                </c:pt>
                <c:pt idx="502">
                  <c:v>9.6823873445604336E-2</c:v>
                </c:pt>
                <c:pt idx="503">
                  <c:v>9.4566943090367644E-2</c:v>
                </c:pt>
                <c:pt idx="504">
                  <c:v>9.2310012735130953E-2</c:v>
                </c:pt>
                <c:pt idx="505">
                  <c:v>8.8813222102179679E-2</c:v>
                </c:pt>
                <c:pt idx="506">
                  <c:v>8.6556291746942987E-2</c:v>
                </c:pt>
                <c:pt idx="507">
                  <c:v>8.5348948715271988E-2</c:v>
                </c:pt>
                <c:pt idx="508">
                  <c:v>8.1852158082320714E-2</c:v>
                </c:pt>
                <c:pt idx="509">
                  <c:v>7.835536744936944E-2</c:v>
                </c:pt>
                <c:pt idx="510">
                  <c:v>7.6098437094132748E-2</c:v>
                </c:pt>
                <c:pt idx="511">
                  <c:v>7.3841506738896057E-2</c:v>
                </c:pt>
                <c:pt idx="512">
                  <c:v>7.1584576383659365E-2</c:v>
                </c:pt>
                <c:pt idx="513">
                  <c:v>6.8087785750708091E-2</c:v>
                </c:pt>
                <c:pt idx="514">
                  <c:v>6.6880442719037092E-2</c:v>
                </c:pt>
                <c:pt idx="515">
                  <c:v>6.4623512363800401E-2</c:v>
                </c:pt>
                <c:pt idx="516">
                  <c:v>6.2366582008563702E-2</c:v>
                </c:pt>
                <c:pt idx="517">
                  <c:v>6.115923897689271E-2</c:v>
                </c:pt>
                <c:pt idx="518">
                  <c:v>5.8902308621656012E-2</c:v>
                </c:pt>
                <c:pt idx="519">
                  <c:v>5.769496558998502E-2</c:v>
                </c:pt>
                <c:pt idx="520">
                  <c:v>5.4198174957033746E-2</c:v>
                </c:pt>
                <c:pt idx="521">
                  <c:v>5.1941244601797047E-2</c:v>
                </c:pt>
                <c:pt idx="522">
                  <c:v>4.9684314246560349E-2</c:v>
                </c:pt>
                <c:pt idx="523">
                  <c:v>4.742738389132365E-2</c:v>
                </c:pt>
                <c:pt idx="524">
                  <c:v>4.5170453536086952E-2</c:v>
                </c:pt>
                <c:pt idx="525">
                  <c:v>4.1673662903135678E-2</c:v>
                </c:pt>
                <c:pt idx="526">
                  <c:v>3.8176872270184403E-2</c:v>
                </c:pt>
                <c:pt idx="527">
                  <c:v>3.5919941914947705E-2</c:v>
                </c:pt>
                <c:pt idx="528">
                  <c:v>3.242315128199643E-2</c:v>
                </c:pt>
                <c:pt idx="529">
                  <c:v>2.8926360649045156E-2</c:v>
                </c:pt>
                <c:pt idx="530">
                  <c:v>2.6669430293808458E-2</c:v>
                </c:pt>
                <c:pt idx="531">
                  <c:v>2.4412499938571759E-2</c:v>
                </c:pt>
                <c:pt idx="532">
                  <c:v>2.0915709305620485E-2</c:v>
                </c:pt>
                <c:pt idx="533">
                  <c:v>1.7418918672669211E-2</c:v>
                </c:pt>
                <c:pt idx="534">
                  <c:v>1.516198831743251E-2</c:v>
                </c:pt>
                <c:pt idx="535">
                  <c:v>1.3954645285761519E-2</c:v>
                </c:pt>
                <c:pt idx="536">
                  <c:v>1.0457854652810242E-2</c:v>
                </c:pt>
                <c:pt idx="537">
                  <c:v>8.200924297573544E-3</c:v>
                </c:pt>
                <c:pt idx="538">
                  <c:v>4.7041336646222679E-3</c:v>
                </c:pt>
                <c:pt idx="539">
                  <c:v>3.4967906329512756E-3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0-4D7A-877A-EA2BD304384A}"/>
            </c:ext>
          </c:extLst>
        </c:ser>
        <c:ser>
          <c:idx val="1"/>
          <c:order val="1"/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Extrapolation!$K$12:$K$552</c:f>
              <c:numCache>
                <c:formatCode>General</c:formatCode>
                <c:ptCount val="541"/>
                <c:pt idx="0">
                  <c:v>8.4331321716308594</c:v>
                </c:pt>
                <c:pt idx="1">
                  <c:v>8.4873847961425781</c:v>
                </c:pt>
                <c:pt idx="2">
                  <c:v>8.4983530044555664</c:v>
                </c:pt>
                <c:pt idx="3">
                  <c:v>8.6570510864257813</c:v>
                </c:pt>
                <c:pt idx="4">
                  <c:v>8.7504596710205078</c:v>
                </c:pt>
                <c:pt idx="5">
                  <c:v>8.8851194381713867</c:v>
                </c:pt>
                <c:pt idx="6">
                  <c:v>8.9769735336303711</c:v>
                </c:pt>
                <c:pt idx="7">
                  <c:v>9.2124910354614258</c:v>
                </c:pt>
                <c:pt idx="8">
                  <c:v>9.2874174118041992</c:v>
                </c:pt>
                <c:pt idx="9">
                  <c:v>9.5466318130493164</c:v>
                </c:pt>
                <c:pt idx="10">
                  <c:v>9.5740175247192383</c:v>
                </c:pt>
                <c:pt idx="11">
                  <c:v>9.5840730667114258</c:v>
                </c:pt>
                <c:pt idx="12">
                  <c:v>9.6290607452392578</c:v>
                </c:pt>
                <c:pt idx="13">
                  <c:v>9.659153938293457</c:v>
                </c:pt>
                <c:pt idx="14">
                  <c:v>9.6740264892578125</c:v>
                </c:pt>
                <c:pt idx="15">
                  <c:v>9.718693733215332</c:v>
                </c:pt>
                <c:pt idx="16">
                  <c:v>9.7483768463134766</c:v>
                </c:pt>
                <c:pt idx="17">
                  <c:v>9.7809553146362305</c:v>
                </c:pt>
                <c:pt idx="18">
                  <c:v>9.8884897232055664</c:v>
                </c:pt>
                <c:pt idx="19">
                  <c:v>10.040622711181641</c:v>
                </c:pt>
                <c:pt idx="20">
                  <c:v>10.071426391601563</c:v>
                </c:pt>
                <c:pt idx="21">
                  <c:v>10.107729911804199</c:v>
                </c:pt>
                <c:pt idx="22">
                  <c:v>10.273948669433594</c:v>
                </c:pt>
                <c:pt idx="23">
                  <c:v>10.279210090637207</c:v>
                </c:pt>
                <c:pt idx="24">
                  <c:v>10.292530059814453</c:v>
                </c:pt>
                <c:pt idx="25">
                  <c:v>10.312351226806641</c:v>
                </c:pt>
                <c:pt idx="26">
                  <c:v>10.321870803833008</c:v>
                </c:pt>
                <c:pt idx="27">
                  <c:v>10.327005386352539</c:v>
                </c:pt>
                <c:pt idx="28">
                  <c:v>10.371017456054688</c:v>
                </c:pt>
                <c:pt idx="29">
                  <c:v>10.372244834899902</c:v>
                </c:pt>
                <c:pt idx="30">
                  <c:v>10.395659446716309</c:v>
                </c:pt>
                <c:pt idx="31">
                  <c:v>10.397263526916504</c:v>
                </c:pt>
                <c:pt idx="32">
                  <c:v>10.397344589233398</c:v>
                </c:pt>
                <c:pt idx="33">
                  <c:v>10.403360366821289</c:v>
                </c:pt>
                <c:pt idx="34">
                  <c:v>10.41545581817627</c:v>
                </c:pt>
                <c:pt idx="35">
                  <c:v>10.453702926635742</c:v>
                </c:pt>
                <c:pt idx="36">
                  <c:v>10.47556209564209</c:v>
                </c:pt>
                <c:pt idx="37">
                  <c:v>10.480860710144043</c:v>
                </c:pt>
                <c:pt idx="38">
                  <c:v>10.481094360351563</c:v>
                </c:pt>
                <c:pt idx="39">
                  <c:v>10.481490135192871</c:v>
                </c:pt>
                <c:pt idx="40">
                  <c:v>10.487228393554688</c:v>
                </c:pt>
                <c:pt idx="41">
                  <c:v>10.492035865783691</c:v>
                </c:pt>
                <c:pt idx="42">
                  <c:v>10.509722709655762</c:v>
                </c:pt>
                <c:pt idx="43">
                  <c:v>10.527604103088379</c:v>
                </c:pt>
                <c:pt idx="44">
                  <c:v>10.545735359191895</c:v>
                </c:pt>
                <c:pt idx="45">
                  <c:v>10.547500610351563</c:v>
                </c:pt>
                <c:pt idx="46">
                  <c:v>10.584567070007324</c:v>
                </c:pt>
                <c:pt idx="47">
                  <c:v>10.586276054382324</c:v>
                </c:pt>
                <c:pt idx="48">
                  <c:v>10.628192901611328</c:v>
                </c:pt>
                <c:pt idx="49">
                  <c:v>10.64467716217041</c:v>
                </c:pt>
                <c:pt idx="50">
                  <c:v>10.678064346313477</c:v>
                </c:pt>
                <c:pt idx="51">
                  <c:v>10.732308387756348</c:v>
                </c:pt>
                <c:pt idx="52">
                  <c:v>10.733250617980957</c:v>
                </c:pt>
                <c:pt idx="53">
                  <c:v>10.738313674926758</c:v>
                </c:pt>
                <c:pt idx="54">
                  <c:v>10.747846603393555</c:v>
                </c:pt>
                <c:pt idx="55">
                  <c:v>10.771830558776855</c:v>
                </c:pt>
                <c:pt idx="56">
                  <c:v>10.783828735351563</c:v>
                </c:pt>
                <c:pt idx="57">
                  <c:v>10.788516998291016</c:v>
                </c:pt>
                <c:pt idx="58">
                  <c:v>10.790127754211426</c:v>
                </c:pt>
                <c:pt idx="59">
                  <c:v>10.848018646240234</c:v>
                </c:pt>
                <c:pt idx="60">
                  <c:v>10.848333358764648</c:v>
                </c:pt>
                <c:pt idx="61">
                  <c:v>10.859234809875488</c:v>
                </c:pt>
                <c:pt idx="62">
                  <c:v>10.859994888305664</c:v>
                </c:pt>
                <c:pt idx="63">
                  <c:v>10.865875244140625</c:v>
                </c:pt>
                <c:pt idx="64">
                  <c:v>10.888992309570313</c:v>
                </c:pt>
                <c:pt idx="65">
                  <c:v>10.93040657043457</c:v>
                </c:pt>
                <c:pt idx="66">
                  <c:v>11.020030975341797</c:v>
                </c:pt>
                <c:pt idx="67">
                  <c:v>11.027270317077637</c:v>
                </c:pt>
                <c:pt idx="68">
                  <c:v>11.048103332519531</c:v>
                </c:pt>
                <c:pt idx="69">
                  <c:v>11.056553840637207</c:v>
                </c:pt>
                <c:pt idx="70">
                  <c:v>11.070590019226074</c:v>
                </c:pt>
                <c:pt idx="71">
                  <c:v>11.070852279663086</c:v>
                </c:pt>
                <c:pt idx="72">
                  <c:v>11.079747200012207</c:v>
                </c:pt>
                <c:pt idx="73">
                  <c:v>11.134340286254883</c:v>
                </c:pt>
                <c:pt idx="74">
                  <c:v>11.14080810546875</c:v>
                </c:pt>
                <c:pt idx="75">
                  <c:v>11.142857551574707</c:v>
                </c:pt>
                <c:pt idx="76">
                  <c:v>11.17795467376709</c:v>
                </c:pt>
                <c:pt idx="77">
                  <c:v>11.201815605163574</c:v>
                </c:pt>
                <c:pt idx="78">
                  <c:v>11.220614433288574</c:v>
                </c:pt>
                <c:pt idx="79">
                  <c:v>11.244706153869629</c:v>
                </c:pt>
                <c:pt idx="80">
                  <c:v>11.248252868652344</c:v>
                </c:pt>
                <c:pt idx="81">
                  <c:v>11.248635292053223</c:v>
                </c:pt>
                <c:pt idx="82">
                  <c:v>11.287103652954102</c:v>
                </c:pt>
                <c:pt idx="83">
                  <c:v>11.291441917419434</c:v>
                </c:pt>
                <c:pt idx="84">
                  <c:v>11.302172660827637</c:v>
                </c:pt>
                <c:pt idx="85">
                  <c:v>11.36501407623291</c:v>
                </c:pt>
                <c:pt idx="86">
                  <c:v>11.381782531738281</c:v>
                </c:pt>
                <c:pt idx="87">
                  <c:v>11.383501052856445</c:v>
                </c:pt>
                <c:pt idx="88">
                  <c:v>11.390932083129883</c:v>
                </c:pt>
                <c:pt idx="89">
                  <c:v>11.39936637878418</c:v>
                </c:pt>
                <c:pt idx="90">
                  <c:v>11.399449348449707</c:v>
                </c:pt>
                <c:pt idx="91">
                  <c:v>11.418981552124023</c:v>
                </c:pt>
                <c:pt idx="92">
                  <c:v>11.430893898010254</c:v>
                </c:pt>
                <c:pt idx="93">
                  <c:v>11.491589546203613</c:v>
                </c:pt>
                <c:pt idx="94">
                  <c:v>11.49229621887207</c:v>
                </c:pt>
                <c:pt idx="95">
                  <c:v>11.506749153137207</c:v>
                </c:pt>
                <c:pt idx="96">
                  <c:v>11.569378852844238</c:v>
                </c:pt>
                <c:pt idx="97">
                  <c:v>11.585018157958984</c:v>
                </c:pt>
                <c:pt idx="98">
                  <c:v>11.588923454284668</c:v>
                </c:pt>
                <c:pt idx="99">
                  <c:v>11.631763458251953</c:v>
                </c:pt>
                <c:pt idx="100">
                  <c:v>11.633013725280762</c:v>
                </c:pt>
                <c:pt idx="101">
                  <c:v>11.655497550964355</c:v>
                </c:pt>
                <c:pt idx="102">
                  <c:v>11.66466236114502</c:v>
                </c:pt>
                <c:pt idx="103">
                  <c:v>11.728519439697266</c:v>
                </c:pt>
                <c:pt idx="104">
                  <c:v>11.764962196350098</c:v>
                </c:pt>
                <c:pt idx="105">
                  <c:v>11.76596736907959</c:v>
                </c:pt>
                <c:pt idx="106">
                  <c:v>11.783818244934082</c:v>
                </c:pt>
                <c:pt idx="107">
                  <c:v>11.787068367004395</c:v>
                </c:pt>
                <c:pt idx="108">
                  <c:v>11.792746543884277</c:v>
                </c:pt>
                <c:pt idx="109">
                  <c:v>11.818963050842285</c:v>
                </c:pt>
                <c:pt idx="110">
                  <c:v>11.840177536010742</c:v>
                </c:pt>
                <c:pt idx="111">
                  <c:v>11.857151031494141</c:v>
                </c:pt>
                <c:pt idx="112">
                  <c:v>11.862974166870117</c:v>
                </c:pt>
                <c:pt idx="113">
                  <c:v>11.87614631652832</c:v>
                </c:pt>
                <c:pt idx="114">
                  <c:v>11.880672454833984</c:v>
                </c:pt>
                <c:pt idx="115">
                  <c:v>11.881376266479492</c:v>
                </c:pt>
                <c:pt idx="116">
                  <c:v>11.895634651184082</c:v>
                </c:pt>
                <c:pt idx="117">
                  <c:v>11.896761894226074</c:v>
                </c:pt>
                <c:pt idx="118">
                  <c:v>11.905855178833008</c:v>
                </c:pt>
                <c:pt idx="119">
                  <c:v>11.90787410736084</c:v>
                </c:pt>
                <c:pt idx="120">
                  <c:v>11.921449661254883</c:v>
                </c:pt>
                <c:pt idx="121">
                  <c:v>11.946213722229004</c:v>
                </c:pt>
                <c:pt idx="122">
                  <c:v>11.960766792297363</c:v>
                </c:pt>
                <c:pt idx="123">
                  <c:v>11.964569091796875</c:v>
                </c:pt>
                <c:pt idx="124">
                  <c:v>11.974716186523438</c:v>
                </c:pt>
                <c:pt idx="125">
                  <c:v>11.9832763671875</c:v>
                </c:pt>
                <c:pt idx="126">
                  <c:v>11.988593101501465</c:v>
                </c:pt>
                <c:pt idx="127">
                  <c:v>12.017244338989258</c:v>
                </c:pt>
                <c:pt idx="128">
                  <c:v>12.03697681427002</c:v>
                </c:pt>
                <c:pt idx="129">
                  <c:v>12.043862342834473</c:v>
                </c:pt>
                <c:pt idx="130">
                  <c:v>12.045499801635742</c:v>
                </c:pt>
                <c:pt idx="131">
                  <c:v>12.046049118041992</c:v>
                </c:pt>
                <c:pt idx="132">
                  <c:v>12.054322242736816</c:v>
                </c:pt>
                <c:pt idx="133">
                  <c:v>12.063288688659668</c:v>
                </c:pt>
                <c:pt idx="134">
                  <c:v>12.077924728393555</c:v>
                </c:pt>
                <c:pt idx="135">
                  <c:v>12.100709915161133</c:v>
                </c:pt>
                <c:pt idx="136">
                  <c:v>12.110803604125977</c:v>
                </c:pt>
                <c:pt idx="137">
                  <c:v>12.118688583374023</c:v>
                </c:pt>
                <c:pt idx="138">
                  <c:v>12.119532585144043</c:v>
                </c:pt>
                <c:pt idx="139">
                  <c:v>12.124018669128418</c:v>
                </c:pt>
                <c:pt idx="140">
                  <c:v>12.164920806884766</c:v>
                </c:pt>
                <c:pt idx="141">
                  <c:v>12.205229759216309</c:v>
                </c:pt>
                <c:pt idx="142">
                  <c:v>12.224136352539063</c:v>
                </c:pt>
                <c:pt idx="143">
                  <c:v>12.239339828491211</c:v>
                </c:pt>
                <c:pt idx="144">
                  <c:v>12.245086669921875</c:v>
                </c:pt>
                <c:pt idx="145">
                  <c:v>12.272363662719727</c:v>
                </c:pt>
                <c:pt idx="146">
                  <c:v>12.332560539245605</c:v>
                </c:pt>
                <c:pt idx="147">
                  <c:v>12.341717720031738</c:v>
                </c:pt>
                <c:pt idx="148">
                  <c:v>12.349394798278809</c:v>
                </c:pt>
                <c:pt idx="149">
                  <c:v>12.354214668273926</c:v>
                </c:pt>
                <c:pt idx="150">
                  <c:v>12.355725288391113</c:v>
                </c:pt>
                <c:pt idx="151">
                  <c:v>12.36133861541748</c:v>
                </c:pt>
                <c:pt idx="152">
                  <c:v>12.365097045898438</c:v>
                </c:pt>
                <c:pt idx="153">
                  <c:v>12.380829811096191</c:v>
                </c:pt>
                <c:pt idx="154">
                  <c:v>12.389643669128418</c:v>
                </c:pt>
                <c:pt idx="155">
                  <c:v>12.39626407623291</c:v>
                </c:pt>
                <c:pt idx="156">
                  <c:v>12.404642105102539</c:v>
                </c:pt>
                <c:pt idx="157">
                  <c:v>12.405790328979492</c:v>
                </c:pt>
                <c:pt idx="158">
                  <c:v>12.410969734191895</c:v>
                </c:pt>
                <c:pt idx="159">
                  <c:v>12.443376541137695</c:v>
                </c:pt>
                <c:pt idx="160">
                  <c:v>12.460427284240723</c:v>
                </c:pt>
                <c:pt idx="161">
                  <c:v>12.489338874816895</c:v>
                </c:pt>
                <c:pt idx="162">
                  <c:v>12.504961967468262</c:v>
                </c:pt>
                <c:pt idx="163">
                  <c:v>12.529848098754883</c:v>
                </c:pt>
                <c:pt idx="164">
                  <c:v>12.538472175598145</c:v>
                </c:pt>
                <c:pt idx="165">
                  <c:v>12.544685363769531</c:v>
                </c:pt>
                <c:pt idx="166">
                  <c:v>12.548006057739258</c:v>
                </c:pt>
                <c:pt idx="167">
                  <c:v>12.571346282958984</c:v>
                </c:pt>
                <c:pt idx="168">
                  <c:v>12.579401969909668</c:v>
                </c:pt>
                <c:pt idx="169">
                  <c:v>12.583495140075684</c:v>
                </c:pt>
                <c:pt idx="170">
                  <c:v>12.594945907592773</c:v>
                </c:pt>
                <c:pt idx="171">
                  <c:v>12.616076469421387</c:v>
                </c:pt>
                <c:pt idx="172">
                  <c:v>12.617484092712402</c:v>
                </c:pt>
                <c:pt idx="173">
                  <c:v>12.655155181884766</c:v>
                </c:pt>
                <c:pt idx="174">
                  <c:v>12.656781196594238</c:v>
                </c:pt>
                <c:pt idx="175">
                  <c:v>12.680577278137207</c:v>
                </c:pt>
                <c:pt idx="176">
                  <c:v>12.691671371459961</c:v>
                </c:pt>
                <c:pt idx="177">
                  <c:v>12.711462020874023</c:v>
                </c:pt>
                <c:pt idx="178">
                  <c:v>12.711570739746094</c:v>
                </c:pt>
                <c:pt idx="179">
                  <c:v>12.715810775756836</c:v>
                </c:pt>
                <c:pt idx="180">
                  <c:v>12.717411994934082</c:v>
                </c:pt>
                <c:pt idx="181">
                  <c:v>12.726799011230469</c:v>
                </c:pt>
                <c:pt idx="182">
                  <c:v>12.746869087219238</c:v>
                </c:pt>
                <c:pt idx="183">
                  <c:v>12.750140190124512</c:v>
                </c:pt>
                <c:pt idx="184">
                  <c:v>12.764886856079102</c:v>
                </c:pt>
                <c:pt idx="185">
                  <c:v>12.775029182434082</c:v>
                </c:pt>
                <c:pt idx="186">
                  <c:v>12.794351577758789</c:v>
                </c:pt>
                <c:pt idx="187">
                  <c:v>12.794976234436035</c:v>
                </c:pt>
                <c:pt idx="188">
                  <c:v>12.876514434814453</c:v>
                </c:pt>
                <c:pt idx="189">
                  <c:v>12.898942947387695</c:v>
                </c:pt>
                <c:pt idx="190">
                  <c:v>12.90796947479248</c:v>
                </c:pt>
                <c:pt idx="191">
                  <c:v>12.910773277282715</c:v>
                </c:pt>
                <c:pt idx="192">
                  <c:v>12.912376403808594</c:v>
                </c:pt>
                <c:pt idx="193">
                  <c:v>12.918580055236816</c:v>
                </c:pt>
                <c:pt idx="194">
                  <c:v>12.945170402526855</c:v>
                </c:pt>
                <c:pt idx="195">
                  <c:v>12.953222274780273</c:v>
                </c:pt>
                <c:pt idx="196">
                  <c:v>12.973063468933105</c:v>
                </c:pt>
                <c:pt idx="197">
                  <c:v>12.99124813079834</c:v>
                </c:pt>
                <c:pt idx="198">
                  <c:v>12.995405197143555</c:v>
                </c:pt>
                <c:pt idx="199">
                  <c:v>13.013371467590332</c:v>
                </c:pt>
                <c:pt idx="200">
                  <c:v>13.015888214111328</c:v>
                </c:pt>
                <c:pt idx="201">
                  <c:v>13.018619537353516</c:v>
                </c:pt>
                <c:pt idx="202">
                  <c:v>13.019942283630371</c:v>
                </c:pt>
                <c:pt idx="203">
                  <c:v>13.023520469665527</c:v>
                </c:pt>
                <c:pt idx="204">
                  <c:v>13.032739639282227</c:v>
                </c:pt>
                <c:pt idx="205">
                  <c:v>13.034626007080078</c:v>
                </c:pt>
                <c:pt idx="206">
                  <c:v>13.03923511505127</c:v>
                </c:pt>
                <c:pt idx="207">
                  <c:v>13.040851593017578</c:v>
                </c:pt>
                <c:pt idx="208">
                  <c:v>13.086817741394043</c:v>
                </c:pt>
                <c:pt idx="209">
                  <c:v>13.08958911895752</c:v>
                </c:pt>
                <c:pt idx="210">
                  <c:v>13.101114273071289</c:v>
                </c:pt>
                <c:pt idx="211">
                  <c:v>13.108488082885742</c:v>
                </c:pt>
                <c:pt idx="212">
                  <c:v>13.114522933959961</c:v>
                </c:pt>
                <c:pt idx="213">
                  <c:v>13.189785003662109</c:v>
                </c:pt>
                <c:pt idx="214">
                  <c:v>13.192981719970703</c:v>
                </c:pt>
                <c:pt idx="215">
                  <c:v>13.210948944091797</c:v>
                </c:pt>
                <c:pt idx="216">
                  <c:v>13.218448638916016</c:v>
                </c:pt>
                <c:pt idx="217">
                  <c:v>13.229022026062012</c:v>
                </c:pt>
                <c:pt idx="218">
                  <c:v>13.230360984802246</c:v>
                </c:pt>
                <c:pt idx="219">
                  <c:v>13.238157272338867</c:v>
                </c:pt>
                <c:pt idx="220">
                  <c:v>13.251519203186035</c:v>
                </c:pt>
                <c:pt idx="221">
                  <c:v>13.253626823425293</c:v>
                </c:pt>
                <c:pt idx="222">
                  <c:v>13.276176452636719</c:v>
                </c:pt>
                <c:pt idx="223">
                  <c:v>13.279438018798828</c:v>
                </c:pt>
                <c:pt idx="224">
                  <c:v>13.293807983398438</c:v>
                </c:pt>
                <c:pt idx="225">
                  <c:v>13.307661056518555</c:v>
                </c:pt>
                <c:pt idx="226">
                  <c:v>13.31362247467041</c:v>
                </c:pt>
                <c:pt idx="227">
                  <c:v>13.332456588745117</c:v>
                </c:pt>
                <c:pt idx="228">
                  <c:v>13.354397773742676</c:v>
                </c:pt>
                <c:pt idx="229">
                  <c:v>13.357977867126465</c:v>
                </c:pt>
                <c:pt idx="230">
                  <c:v>13.397314071655273</c:v>
                </c:pt>
                <c:pt idx="231">
                  <c:v>13.402802467346191</c:v>
                </c:pt>
                <c:pt idx="232">
                  <c:v>13.417252540588379</c:v>
                </c:pt>
                <c:pt idx="233">
                  <c:v>13.435183525085449</c:v>
                </c:pt>
                <c:pt idx="234">
                  <c:v>13.466150283813477</c:v>
                </c:pt>
                <c:pt idx="235">
                  <c:v>13.473003387451172</c:v>
                </c:pt>
                <c:pt idx="236">
                  <c:v>13.477879524230957</c:v>
                </c:pt>
                <c:pt idx="237">
                  <c:v>13.482427597045898</c:v>
                </c:pt>
                <c:pt idx="238">
                  <c:v>13.496177673339844</c:v>
                </c:pt>
                <c:pt idx="239">
                  <c:v>13.503764152526855</c:v>
                </c:pt>
                <c:pt idx="240">
                  <c:v>13.510305404663086</c:v>
                </c:pt>
                <c:pt idx="241">
                  <c:v>13.528200149536133</c:v>
                </c:pt>
                <c:pt idx="242">
                  <c:v>13.541327476501465</c:v>
                </c:pt>
                <c:pt idx="243">
                  <c:v>13.571276664733887</c:v>
                </c:pt>
                <c:pt idx="244">
                  <c:v>13.572399139404297</c:v>
                </c:pt>
                <c:pt idx="245">
                  <c:v>13.588135719299316</c:v>
                </c:pt>
                <c:pt idx="246">
                  <c:v>13.629913330078125</c:v>
                </c:pt>
                <c:pt idx="247">
                  <c:v>13.641864776611328</c:v>
                </c:pt>
                <c:pt idx="248">
                  <c:v>13.659306526184082</c:v>
                </c:pt>
                <c:pt idx="249">
                  <c:v>13.663948059082031</c:v>
                </c:pt>
                <c:pt idx="250">
                  <c:v>13.679931640625</c:v>
                </c:pt>
                <c:pt idx="251">
                  <c:v>13.685076713562012</c:v>
                </c:pt>
                <c:pt idx="252">
                  <c:v>13.686276435852051</c:v>
                </c:pt>
                <c:pt idx="253">
                  <c:v>13.687596321105957</c:v>
                </c:pt>
                <c:pt idx="254">
                  <c:v>13.696569442749023</c:v>
                </c:pt>
                <c:pt idx="255">
                  <c:v>13.721676826477051</c:v>
                </c:pt>
                <c:pt idx="256">
                  <c:v>13.731443405151367</c:v>
                </c:pt>
                <c:pt idx="257">
                  <c:v>13.741439819335938</c:v>
                </c:pt>
                <c:pt idx="258">
                  <c:v>13.754462242126465</c:v>
                </c:pt>
                <c:pt idx="259">
                  <c:v>13.756754875183105</c:v>
                </c:pt>
                <c:pt idx="260">
                  <c:v>13.822353363037109</c:v>
                </c:pt>
                <c:pt idx="261">
                  <c:v>13.833733558654785</c:v>
                </c:pt>
                <c:pt idx="262">
                  <c:v>13.843864440917969</c:v>
                </c:pt>
                <c:pt idx="263">
                  <c:v>13.845535278320313</c:v>
                </c:pt>
                <c:pt idx="264">
                  <c:v>13.891035079956055</c:v>
                </c:pt>
                <c:pt idx="265">
                  <c:v>13.91913890838623</c:v>
                </c:pt>
                <c:pt idx="266">
                  <c:v>13.920162200927734</c:v>
                </c:pt>
                <c:pt idx="267">
                  <c:v>13.994297981262207</c:v>
                </c:pt>
                <c:pt idx="268">
                  <c:v>14.00206184387207</c:v>
                </c:pt>
                <c:pt idx="269">
                  <c:v>14.011149406433105</c:v>
                </c:pt>
                <c:pt idx="270">
                  <c:v>14.013809204101563</c:v>
                </c:pt>
                <c:pt idx="271">
                  <c:v>14.014244079589844</c:v>
                </c:pt>
                <c:pt idx="272">
                  <c:v>14.03359317779541</c:v>
                </c:pt>
                <c:pt idx="273">
                  <c:v>14.080909729003906</c:v>
                </c:pt>
                <c:pt idx="274">
                  <c:v>14.081181526184082</c:v>
                </c:pt>
                <c:pt idx="275">
                  <c:v>14.112170219421387</c:v>
                </c:pt>
                <c:pt idx="276">
                  <c:v>14.117085456848145</c:v>
                </c:pt>
                <c:pt idx="277">
                  <c:v>14.129061698913574</c:v>
                </c:pt>
                <c:pt idx="278">
                  <c:v>14.152168273925781</c:v>
                </c:pt>
                <c:pt idx="279">
                  <c:v>14.188843727111816</c:v>
                </c:pt>
                <c:pt idx="280">
                  <c:v>14.239205360412598</c:v>
                </c:pt>
                <c:pt idx="281">
                  <c:v>14.262596130371094</c:v>
                </c:pt>
                <c:pt idx="282">
                  <c:v>14.284689903259277</c:v>
                </c:pt>
                <c:pt idx="283">
                  <c:v>14.315909385681152</c:v>
                </c:pt>
                <c:pt idx="284">
                  <c:v>14.329156875610352</c:v>
                </c:pt>
                <c:pt idx="285">
                  <c:v>14.348115921020508</c:v>
                </c:pt>
                <c:pt idx="286">
                  <c:v>14.381908416748047</c:v>
                </c:pt>
                <c:pt idx="287">
                  <c:v>14.398818969726563</c:v>
                </c:pt>
                <c:pt idx="288">
                  <c:v>14.430496215820313</c:v>
                </c:pt>
                <c:pt idx="289">
                  <c:v>14.440387725830078</c:v>
                </c:pt>
                <c:pt idx="290">
                  <c:v>14.447521209716797</c:v>
                </c:pt>
                <c:pt idx="291">
                  <c:v>14.459376335144043</c:v>
                </c:pt>
                <c:pt idx="292">
                  <c:v>14.472825050354004</c:v>
                </c:pt>
                <c:pt idx="293">
                  <c:v>14.481236457824707</c:v>
                </c:pt>
                <c:pt idx="294">
                  <c:v>14.482855796813965</c:v>
                </c:pt>
                <c:pt idx="295">
                  <c:v>14.495588302612305</c:v>
                </c:pt>
                <c:pt idx="296">
                  <c:v>14.521425247192383</c:v>
                </c:pt>
                <c:pt idx="297">
                  <c:v>14.540904998779297</c:v>
                </c:pt>
                <c:pt idx="298">
                  <c:v>14.545557975769043</c:v>
                </c:pt>
                <c:pt idx="299">
                  <c:v>14.545918464660645</c:v>
                </c:pt>
                <c:pt idx="300">
                  <c:v>14.548342704772949</c:v>
                </c:pt>
                <c:pt idx="301">
                  <c:v>14.579719543457031</c:v>
                </c:pt>
                <c:pt idx="302">
                  <c:v>14.654423713684082</c:v>
                </c:pt>
                <c:pt idx="303">
                  <c:v>14.664799690246582</c:v>
                </c:pt>
                <c:pt idx="304">
                  <c:v>14.67646312713623</c:v>
                </c:pt>
                <c:pt idx="305">
                  <c:v>14.677615165710449</c:v>
                </c:pt>
                <c:pt idx="306">
                  <c:v>14.704850196838379</c:v>
                </c:pt>
                <c:pt idx="307">
                  <c:v>14.706531524658203</c:v>
                </c:pt>
                <c:pt idx="308">
                  <c:v>14.735055923461914</c:v>
                </c:pt>
                <c:pt idx="309">
                  <c:v>14.755152702331543</c:v>
                </c:pt>
                <c:pt idx="310">
                  <c:v>14.755260467529297</c:v>
                </c:pt>
                <c:pt idx="311">
                  <c:v>14.79188060760498</c:v>
                </c:pt>
                <c:pt idx="312">
                  <c:v>14.817777633666992</c:v>
                </c:pt>
                <c:pt idx="313">
                  <c:v>14.826322555541992</c:v>
                </c:pt>
                <c:pt idx="314">
                  <c:v>14.843902587890625</c:v>
                </c:pt>
                <c:pt idx="315">
                  <c:v>14.844147682189941</c:v>
                </c:pt>
                <c:pt idx="316">
                  <c:v>14.844813346862793</c:v>
                </c:pt>
                <c:pt idx="317">
                  <c:v>14.90273380279541</c:v>
                </c:pt>
                <c:pt idx="318">
                  <c:v>14.913819313049316</c:v>
                </c:pt>
                <c:pt idx="319">
                  <c:v>14.946480751037598</c:v>
                </c:pt>
                <c:pt idx="320">
                  <c:v>15.011262893676758</c:v>
                </c:pt>
                <c:pt idx="321">
                  <c:v>15.014269828796387</c:v>
                </c:pt>
                <c:pt idx="322">
                  <c:v>15.036250114440918</c:v>
                </c:pt>
                <c:pt idx="323">
                  <c:v>15.088603019714355</c:v>
                </c:pt>
                <c:pt idx="324">
                  <c:v>15.172671318054199</c:v>
                </c:pt>
                <c:pt idx="325">
                  <c:v>15.182847023010254</c:v>
                </c:pt>
                <c:pt idx="326">
                  <c:v>15.204999923706055</c:v>
                </c:pt>
                <c:pt idx="327">
                  <c:v>15.223983764648438</c:v>
                </c:pt>
                <c:pt idx="328">
                  <c:v>15.285244941711426</c:v>
                </c:pt>
                <c:pt idx="329">
                  <c:v>15.335382461547852</c:v>
                </c:pt>
                <c:pt idx="330">
                  <c:v>15.359257698059082</c:v>
                </c:pt>
                <c:pt idx="331">
                  <c:v>15.371742248535156</c:v>
                </c:pt>
                <c:pt idx="332">
                  <c:v>15.382610321044922</c:v>
                </c:pt>
                <c:pt idx="333">
                  <c:v>15.422443389892578</c:v>
                </c:pt>
                <c:pt idx="334">
                  <c:v>15.437429428100586</c:v>
                </c:pt>
                <c:pt idx="335">
                  <c:v>15.454901695251465</c:v>
                </c:pt>
                <c:pt idx="336">
                  <c:v>15.48316478729248</c:v>
                </c:pt>
                <c:pt idx="337">
                  <c:v>15.506329536437988</c:v>
                </c:pt>
                <c:pt idx="338">
                  <c:v>15.602725028991699</c:v>
                </c:pt>
                <c:pt idx="339">
                  <c:v>15.606799125671387</c:v>
                </c:pt>
                <c:pt idx="340">
                  <c:v>15.615663528442383</c:v>
                </c:pt>
                <c:pt idx="341">
                  <c:v>15.619054794311523</c:v>
                </c:pt>
                <c:pt idx="342">
                  <c:v>15.639986991882324</c:v>
                </c:pt>
                <c:pt idx="343">
                  <c:v>15.718418121337891</c:v>
                </c:pt>
                <c:pt idx="344">
                  <c:v>15.758711814880371</c:v>
                </c:pt>
                <c:pt idx="345">
                  <c:v>15.766495704650879</c:v>
                </c:pt>
                <c:pt idx="346">
                  <c:v>15.788023948669434</c:v>
                </c:pt>
                <c:pt idx="347">
                  <c:v>15.805816650390625</c:v>
                </c:pt>
                <c:pt idx="348">
                  <c:v>15.810877799987793</c:v>
                </c:pt>
                <c:pt idx="349">
                  <c:v>15.810946464538574</c:v>
                </c:pt>
                <c:pt idx="350">
                  <c:v>15.849233627319336</c:v>
                </c:pt>
                <c:pt idx="351">
                  <c:v>15.855997085571289</c:v>
                </c:pt>
                <c:pt idx="352">
                  <c:v>15.875725746154785</c:v>
                </c:pt>
                <c:pt idx="353">
                  <c:v>15.875893592834473</c:v>
                </c:pt>
                <c:pt idx="354">
                  <c:v>15.899559020996094</c:v>
                </c:pt>
                <c:pt idx="355">
                  <c:v>15.91607666015625</c:v>
                </c:pt>
                <c:pt idx="356">
                  <c:v>15.966521263122559</c:v>
                </c:pt>
                <c:pt idx="357">
                  <c:v>16.030097961425781</c:v>
                </c:pt>
                <c:pt idx="358">
                  <c:v>16.051530838012695</c:v>
                </c:pt>
                <c:pt idx="359">
                  <c:v>16.133171081542969</c:v>
                </c:pt>
                <c:pt idx="360">
                  <c:v>16.168838500976563</c:v>
                </c:pt>
                <c:pt idx="361">
                  <c:v>16.193584442138672</c:v>
                </c:pt>
                <c:pt idx="362">
                  <c:v>16.195344924926758</c:v>
                </c:pt>
                <c:pt idx="363">
                  <c:v>16.217296600341797</c:v>
                </c:pt>
                <c:pt idx="364">
                  <c:v>16.21989631652832</c:v>
                </c:pt>
                <c:pt idx="365">
                  <c:v>16.220111846923828</c:v>
                </c:pt>
                <c:pt idx="366">
                  <c:v>16.278247833251953</c:v>
                </c:pt>
                <c:pt idx="367">
                  <c:v>16.278940200805664</c:v>
                </c:pt>
                <c:pt idx="368">
                  <c:v>16.287277221679688</c:v>
                </c:pt>
                <c:pt idx="369">
                  <c:v>16.310007095336914</c:v>
                </c:pt>
                <c:pt idx="370">
                  <c:v>16.318098068237305</c:v>
                </c:pt>
                <c:pt idx="371">
                  <c:v>16.321182250976563</c:v>
                </c:pt>
                <c:pt idx="372">
                  <c:v>16.349237442016602</c:v>
                </c:pt>
                <c:pt idx="373">
                  <c:v>16.353219985961914</c:v>
                </c:pt>
                <c:pt idx="374">
                  <c:v>16.358798980712891</c:v>
                </c:pt>
                <c:pt idx="375">
                  <c:v>16.397811889648438</c:v>
                </c:pt>
                <c:pt idx="376">
                  <c:v>16.404050827026367</c:v>
                </c:pt>
                <c:pt idx="377">
                  <c:v>16.438209533691406</c:v>
                </c:pt>
                <c:pt idx="378">
                  <c:v>16.441385269165039</c:v>
                </c:pt>
                <c:pt idx="379">
                  <c:v>16.450035095214844</c:v>
                </c:pt>
                <c:pt idx="380">
                  <c:v>16.450885772705078</c:v>
                </c:pt>
                <c:pt idx="381">
                  <c:v>16.455514907836914</c:v>
                </c:pt>
                <c:pt idx="382">
                  <c:v>16.502368927001953</c:v>
                </c:pt>
                <c:pt idx="383">
                  <c:v>16.507879257202148</c:v>
                </c:pt>
                <c:pt idx="384">
                  <c:v>16.514205932617188</c:v>
                </c:pt>
                <c:pt idx="385">
                  <c:v>16.526168823242188</c:v>
                </c:pt>
                <c:pt idx="386">
                  <c:v>16.542394638061523</c:v>
                </c:pt>
                <c:pt idx="387">
                  <c:v>16.555883407592773</c:v>
                </c:pt>
                <c:pt idx="388">
                  <c:v>16.56634521484375</c:v>
                </c:pt>
                <c:pt idx="389">
                  <c:v>16.570846557617188</c:v>
                </c:pt>
                <c:pt idx="390">
                  <c:v>16.573337554931641</c:v>
                </c:pt>
                <c:pt idx="391">
                  <c:v>16.588155746459961</c:v>
                </c:pt>
                <c:pt idx="392">
                  <c:v>16.589361190795898</c:v>
                </c:pt>
                <c:pt idx="393">
                  <c:v>16.651628494262695</c:v>
                </c:pt>
                <c:pt idx="394">
                  <c:v>16.655971527099609</c:v>
                </c:pt>
                <c:pt idx="395">
                  <c:v>16.677587509155273</c:v>
                </c:pt>
                <c:pt idx="396">
                  <c:v>16.705699920654297</c:v>
                </c:pt>
                <c:pt idx="397">
                  <c:v>16.706857681274414</c:v>
                </c:pt>
                <c:pt idx="398">
                  <c:v>16.710329055786133</c:v>
                </c:pt>
                <c:pt idx="399">
                  <c:v>16.711767196655273</c:v>
                </c:pt>
                <c:pt idx="400">
                  <c:v>16.734657287597656</c:v>
                </c:pt>
                <c:pt idx="401">
                  <c:v>16.754758834838867</c:v>
                </c:pt>
                <c:pt idx="402">
                  <c:v>16.757938385009766</c:v>
                </c:pt>
                <c:pt idx="403">
                  <c:v>16.77427864074707</c:v>
                </c:pt>
                <c:pt idx="404">
                  <c:v>16.7857666015625</c:v>
                </c:pt>
                <c:pt idx="405">
                  <c:v>16.809043884277344</c:v>
                </c:pt>
                <c:pt idx="406">
                  <c:v>16.813093185424805</c:v>
                </c:pt>
                <c:pt idx="407">
                  <c:v>16.824579238891602</c:v>
                </c:pt>
                <c:pt idx="408">
                  <c:v>16.855258941650391</c:v>
                </c:pt>
                <c:pt idx="409">
                  <c:v>16.866073608398438</c:v>
                </c:pt>
                <c:pt idx="410">
                  <c:v>16.883964538574219</c:v>
                </c:pt>
                <c:pt idx="411">
                  <c:v>16.887750625610352</c:v>
                </c:pt>
                <c:pt idx="412">
                  <c:v>16.901660919189453</c:v>
                </c:pt>
                <c:pt idx="413">
                  <c:v>16.901962280273438</c:v>
                </c:pt>
                <c:pt idx="414">
                  <c:v>16.90667724609375</c:v>
                </c:pt>
                <c:pt idx="415">
                  <c:v>16.924320220947266</c:v>
                </c:pt>
                <c:pt idx="416">
                  <c:v>16.925691604614258</c:v>
                </c:pt>
                <c:pt idx="417">
                  <c:v>16.926067352294922</c:v>
                </c:pt>
                <c:pt idx="418">
                  <c:v>16.933576583862305</c:v>
                </c:pt>
                <c:pt idx="419">
                  <c:v>16.935911178588867</c:v>
                </c:pt>
                <c:pt idx="420">
                  <c:v>16.952043533325195</c:v>
                </c:pt>
                <c:pt idx="421">
                  <c:v>16.95789909362793</c:v>
                </c:pt>
                <c:pt idx="422">
                  <c:v>16.957950592041016</c:v>
                </c:pt>
                <c:pt idx="423">
                  <c:v>16.962034225463867</c:v>
                </c:pt>
                <c:pt idx="424">
                  <c:v>16.963405609130859</c:v>
                </c:pt>
                <c:pt idx="425">
                  <c:v>16.968160629272461</c:v>
                </c:pt>
                <c:pt idx="426">
                  <c:v>16.972955703735352</c:v>
                </c:pt>
                <c:pt idx="427">
                  <c:v>16.984586715698242</c:v>
                </c:pt>
                <c:pt idx="428">
                  <c:v>16.993200302124023</c:v>
                </c:pt>
                <c:pt idx="429">
                  <c:v>16.997203826904297</c:v>
                </c:pt>
                <c:pt idx="430">
                  <c:v>17.01945686340332</c:v>
                </c:pt>
                <c:pt idx="431">
                  <c:v>17.059852600097656</c:v>
                </c:pt>
                <c:pt idx="432">
                  <c:v>17.068939208984375</c:v>
                </c:pt>
                <c:pt idx="433">
                  <c:v>17.080522537231445</c:v>
                </c:pt>
                <c:pt idx="434">
                  <c:v>17.082088470458984</c:v>
                </c:pt>
                <c:pt idx="435">
                  <c:v>17.093143463134766</c:v>
                </c:pt>
                <c:pt idx="436">
                  <c:v>17.095939636230469</c:v>
                </c:pt>
                <c:pt idx="437">
                  <c:v>17.10887336730957</c:v>
                </c:pt>
                <c:pt idx="438">
                  <c:v>17.109350204467773</c:v>
                </c:pt>
                <c:pt idx="439">
                  <c:v>17.109443664550781</c:v>
                </c:pt>
                <c:pt idx="440">
                  <c:v>17.110382080078125</c:v>
                </c:pt>
                <c:pt idx="441">
                  <c:v>17.117164611816406</c:v>
                </c:pt>
                <c:pt idx="442">
                  <c:v>17.119533538818359</c:v>
                </c:pt>
                <c:pt idx="443">
                  <c:v>17.141244888305664</c:v>
                </c:pt>
                <c:pt idx="444">
                  <c:v>17.147943496704102</c:v>
                </c:pt>
                <c:pt idx="445">
                  <c:v>17.158962249755859</c:v>
                </c:pt>
                <c:pt idx="446">
                  <c:v>17.165313720703125</c:v>
                </c:pt>
                <c:pt idx="447">
                  <c:v>17.165506362915039</c:v>
                </c:pt>
                <c:pt idx="448">
                  <c:v>17.171098709106445</c:v>
                </c:pt>
                <c:pt idx="449">
                  <c:v>17.172220230102539</c:v>
                </c:pt>
                <c:pt idx="450">
                  <c:v>17.178981781005859</c:v>
                </c:pt>
                <c:pt idx="451">
                  <c:v>17.18211555480957</c:v>
                </c:pt>
                <c:pt idx="452">
                  <c:v>17.182989120483398</c:v>
                </c:pt>
                <c:pt idx="453">
                  <c:v>17.184160232543945</c:v>
                </c:pt>
                <c:pt idx="454">
                  <c:v>17.200820922851563</c:v>
                </c:pt>
                <c:pt idx="455">
                  <c:v>17.201421737670898</c:v>
                </c:pt>
                <c:pt idx="456">
                  <c:v>17.209516525268555</c:v>
                </c:pt>
                <c:pt idx="457">
                  <c:v>17.210962295532227</c:v>
                </c:pt>
                <c:pt idx="458">
                  <c:v>17.211360931396484</c:v>
                </c:pt>
                <c:pt idx="459">
                  <c:v>17.227210998535156</c:v>
                </c:pt>
                <c:pt idx="460">
                  <c:v>17.231103897094727</c:v>
                </c:pt>
                <c:pt idx="461">
                  <c:v>17.233301162719727</c:v>
                </c:pt>
                <c:pt idx="462">
                  <c:v>17.235904693603516</c:v>
                </c:pt>
                <c:pt idx="463">
                  <c:v>17.249366760253906</c:v>
                </c:pt>
                <c:pt idx="464">
                  <c:v>17.25505256652832</c:v>
                </c:pt>
                <c:pt idx="465">
                  <c:v>17.265625</c:v>
                </c:pt>
                <c:pt idx="466">
                  <c:v>17.2667236328125</c:v>
                </c:pt>
                <c:pt idx="467">
                  <c:v>17.266748428344727</c:v>
                </c:pt>
                <c:pt idx="468">
                  <c:v>17.27092170715332</c:v>
                </c:pt>
                <c:pt idx="469">
                  <c:v>17.289085388183594</c:v>
                </c:pt>
                <c:pt idx="470">
                  <c:v>17.291040420532227</c:v>
                </c:pt>
                <c:pt idx="471">
                  <c:v>17.293363571166992</c:v>
                </c:pt>
                <c:pt idx="472">
                  <c:v>17.293672561645508</c:v>
                </c:pt>
                <c:pt idx="473">
                  <c:v>17.303129196166992</c:v>
                </c:pt>
                <c:pt idx="474">
                  <c:v>17.303516387939453</c:v>
                </c:pt>
                <c:pt idx="475">
                  <c:v>17.305644989013672</c:v>
                </c:pt>
                <c:pt idx="476">
                  <c:v>17.30859375</c:v>
                </c:pt>
                <c:pt idx="477">
                  <c:v>17.309846878051758</c:v>
                </c:pt>
                <c:pt idx="478">
                  <c:v>17.313142776489258</c:v>
                </c:pt>
                <c:pt idx="479">
                  <c:v>17.316106796264648</c:v>
                </c:pt>
                <c:pt idx="480">
                  <c:v>17.318729400634766</c:v>
                </c:pt>
                <c:pt idx="481">
                  <c:v>17.326198577880859</c:v>
                </c:pt>
                <c:pt idx="482">
                  <c:v>17.335199356079102</c:v>
                </c:pt>
                <c:pt idx="483">
                  <c:v>17.339971542358398</c:v>
                </c:pt>
                <c:pt idx="484">
                  <c:v>17.342826843261719</c:v>
                </c:pt>
                <c:pt idx="485">
                  <c:v>17.353500366210938</c:v>
                </c:pt>
                <c:pt idx="486">
                  <c:v>17.359725952148438</c:v>
                </c:pt>
                <c:pt idx="487">
                  <c:v>17.374002456665039</c:v>
                </c:pt>
                <c:pt idx="488">
                  <c:v>17.384355545043945</c:v>
                </c:pt>
                <c:pt idx="489">
                  <c:v>17.384624481201172</c:v>
                </c:pt>
                <c:pt idx="490">
                  <c:v>17.434015274047852</c:v>
                </c:pt>
                <c:pt idx="491">
                  <c:v>17.434244155883789</c:v>
                </c:pt>
                <c:pt idx="492">
                  <c:v>17.447946548461914</c:v>
                </c:pt>
                <c:pt idx="493">
                  <c:v>17.471946716308594</c:v>
                </c:pt>
                <c:pt idx="494">
                  <c:v>17.472908020019531</c:v>
                </c:pt>
                <c:pt idx="495">
                  <c:v>17.481330871582031</c:v>
                </c:pt>
                <c:pt idx="496">
                  <c:v>17.494550704956055</c:v>
                </c:pt>
                <c:pt idx="497">
                  <c:v>17.513036727905273</c:v>
                </c:pt>
                <c:pt idx="498">
                  <c:v>17.51746940612793</c:v>
                </c:pt>
                <c:pt idx="499">
                  <c:v>17.545696258544922</c:v>
                </c:pt>
                <c:pt idx="500">
                  <c:v>17.550369262695313</c:v>
                </c:pt>
                <c:pt idx="501">
                  <c:v>17.555889129638672</c:v>
                </c:pt>
                <c:pt idx="502">
                  <c:v>17.557685852050781</c:v>
                </c:pt>
                <c:pt idx="503">
                  <c:v>17.563262939453125</c:v>
                </c:pt>
                <c:pt idx="504">
                  <c:v>17.573818206787109</c:v>
                </c:pt>
                <c:pt idx="505">
                  <c:v>17.589786529541016</c:v>
                </c:pt>
                <c:pt idx="506">
                  <c:v>17.613492965698242</c:v>
                </c:pt>
                <c:pt idx="507">
                  <c:v>17.614297866821289</c:v>
                </c:pt>
                <c:pt idx="508">
                  <c:v>17.618532180786133</c:v>
                </c:pt>
                <c:pt idx="509">
                  <c:v>17.651998519897461</c:v>
                </c:pt>
                <c:pt idx="510">
                  <c:v>17.664535522460938</c:v>
                </c:pt>
                <c:pt idx="511">
                  <c:v>17.673797607421875</c:v>
                </c:pt>
                <c:pt idx="512">
                  <c:v>17.68333625793457</c:v>
                </c:pt>
                <c:pt idx="513">
                  <c:v>17.684995651245117</c:v>
                </c:pt>
                <c:pt idx="514">
                  <c:v>17.689922332763672</c:v>
                </c:pt>
                <c:pt idx="515">
                  <c:v>17.710783004760742</c:v>
                </c:pt>
                <c:pt idx="516">
                  <c:v>17.713069915771484</c:v>
                </c:pt>
                <c:pt idx="517">
                  <c:v>17.713956832885742</c:v>
                </c:pt>
                <c:pt idx="518">
                  <c:v>17.735492706298828</c:v>
                </c:pt>
                <c:pt idx="519">
                  <c:v>17.767147064208984</c:v>
                </c:pt>
                <c:pt idx="520">
                  <c:v>17.768043518066406</c:v>
                </c:pt>
                <c:pt idx="521">
                  <c:v>17.776773452758789</c:v>
                </c:pt>
                <c:pt idx="522">
                  <c:v>17.790487289428711</c:v>
                </c:pt>
                <c:pt idx="523">
                  <c:v>17.808994293212891</c:v>
                </c:pt>
                <c:pt idx="524">
                  <c:v>17.856847763061523</c:v>
                </c:pt>
                <c:pt idx="525">
                  <c:v>17.873260498046875</c:v>
                </c:pt>
                <c:pt idx="526">
                  <c:v>17.880325317382813</c:v>
                </c:pt>
                <c:pt idx="527">
                  <c:v>17.929155349731445</c:v>
                </c:pt>
                <c:pt idx="528">
                  <c:v>17.950204849243164</c:v>
                </c:pt>
                <c:pt idx="529">
                  <c:v>17.95867919921875</c:v>
                </c:pt>
                <c:pt idx="530">
                  <c:v>17.976537704467773</c:v>
                </c:pt>
                <c:pt idx="531">
                  <c:v>17.995716094970703</c:v>
                </c:pt>
                <c:pt idx="532">
                  <c:v>18.024124145507813</c:v>
                </c:pt>
                <c:pt idx="533">
                  <c:v>18.089437484741211</c:v>
                </c:pt>
                <c:pt idx="534">
                  <c:v>18.10212516784668</c:v>
                </c:pt>
                <c:pt idx="535">
                  <c:v>18.276350021362305</c:v>
                </c:pt>
                <c:pt idx="536">
                  <c:v>18.315929412841797</c:v>
                </c:pt>
                <c:pt idx="537">
                  <c:v>18.453567504882813</c:v>
                </c:pt>
                <c:pt idx="538">
                  <c:v>18.844717025756836</c:v>
                </c:pt>
                <c:pt idx="539">
                  <c:v>18.902776718139648</c:v>
                </c:pt>
                <c:pt idx="540">
                  <c:v>20.061472831172662</c:v>
                </c:pt>
              </c:numCache>
            </c:numRef>
          </c:xVal>
          <c:yVal>
            <c:numRef>
              <c:f>Extrapolation!$M$12:$M$552</c:f>
              <c:numCache>
                <c:formatCode>General</c:formatCode>
                <c:ptCount val="541"/>
                <c:pt idx="0">
                  <c:v>0.99987184323911427</c:v>
                </c:pt>
                <c:pt idx="1">
                  <c:v>0.99986135888492933</c:v>
                </c:pt>
                <c:pt idx="2">
                  <c:v>0.99985914359480721</c:v>
                </c:pt>
                <c:pt idx="3">
                  <c:v>0.99982312785988137</c:v>
                </c:pt>
                <c:pt idx="4">
                  <c:v>0.99979805512499431</c:v>
                </c:pt>
                <c:pt idx="5">
                  <c:v>0.99975597739400734</c:v>
                </c:pt>
                <c:pt idx="6">
                  <c:v>0.99972269046735263</c:v>
                </c:pt>
                <c:pt idx="7">
                  <c:v>0.9996167960507899</c:v>
                </c:pt>
                <c:pt idx="8">
                  <c:v>0.99957582242536624</c:v>
                </c:pt>
                <c:pt idx="9">
                  <c:v>0.99940004255456449</c:v>
                </c:pt>
                <c:pt idx="10">
                  <c:v>0.99937792118056801</c:v>
                </c:pt>
                <c:pt idx="11">
                  <c:v>0.99936960798763452</c:v>
                </c:pt>
                <c:pt idx="12">
                  <c:v>0.99933112102638555</c:v>
                </c:pt>
                <c:pt idx="13">
                  <c:v>0.99930415574416187</c:v>
                </c:pt>
                <c:pt idx="14">
                  <c:v>0.99929045510554526</c:v>
                </c:pt>
                <c:pt idx="15">
                  <c:v>0.99924776826794914</c:v>
                </c:pt>
                <c:pt idx="16">
                  <c:v>0.9992180794367731</c:v>
                </c:pt>
                <c:pt idx="17">
                  <c:v>0.99918422928579209</c:v>
                </c:pt>
                <c:pt idx="18">
                  <c:v>0.9990624661339369</c:v>
                </c:pt>
                <c:pt idx="19">
                  <c:v>0.99886079601607614</c:v>
                </c:pt>
                <c:pt idx="20">
                  <c:v>0.99881528786975049</c:v>
                </c:pt>
                <c:pt idx="21">
                  <c:v>0.99875946344029476</c:v>
                </c:pt>
                <c:pt idx="22">
                  <c:v>0.99847082569906276</c:v>
                </c:pt>
                <c:pt idx="23">
                  <c:v>0.99846073353195197</c:v>
                </c:pt>
                <c:pt idx="24">
                  <c:v>0.99843490360450349</c:v>
                </c:pt>
                <c:pt idx="25">
                  <c:v>0.9983957121720789</c:v>
                </c:pt>
                <c:pt idx="26">
                  <c:v>0.99837656374921457</c:v>
                </c:pt>
                <c:pt idx="27">
                  <c:v>0.99836614676635638</c:v>
                </c:pt>
                <c:pt idx="28">
                  <c:v>0.99827424515437146</c:v>
                </c:pt>
                <c:pt idx="29">
                  <c:v>0.99827161401641851</c:v>
                </c:pt>
                <c:pt idx="30">
                  <c:v>0.99822069296254246</c:v>
                </c:pt>
                <c:pt idx="31">
                  <c:v>0.99821715342808071</c:v>
                </c:pt>
                <c:pt idx="32">
                  <c:v>0.99821697438207702</c:v>
                </c:pt>
                <c:pt idx="33">
                  <c:v>0.99820363984794758</c:v>
                </c:pt>
                <c:pt idx="34">
                  <c:v>0.99817654528508881</c:v>
                </c:pt>
                <c:pt idx="35">
                  <c:v>0.99808832287842975</c:v>
                </c:pt>
                <c:pt idx="36">
                  <c:v>0.99803611801994219</c:v>
                </c:pt>
                <c:pt idx="37">
                  <c:v>0.9980232636918861</c:v>
                </c:pt>
                <c:pt idx="38">
                  <c:v>0.99802269504717578</c:v>
                </c:pt>
                <c:pt idx="39">
                  <c:v>0.99802173148229312</c:v>
                </c:pt>
                <c:pt idx="40">
                  <c:v>0.99800771133203503</c:v>
                </c:pt>
                <c:pt idx="41">
                  <c:v>0.9979958935970471</c:v>
                </c:pt>
                <c:pt idx="42">
                  <c:v>0.99795184695133066</c:v>
                </c:pt>
                <c:pt idx="43">
                  <c:v>0.99790639319737173</c:v>
                </c:pt>
                <c:pt idx="44">
                  <c:v>0.99785933869953602</c:v>
                </c:pt>
                <c:pt idx="45">
                  <c:v>0.9978547048480918</c:v>
                </c:pt>
                <c:pt idx="46">
                  <c:v>0.99775520200792878</c:v>
                </c:pt>
                <c:pt idx="47">
                  <c:v>0.99775051147927363</c:v>
                </c:pt>
                <c:pt idx="48">
                  <c:v>0.99763254403267654</c:v>
                </c:pt>
                <c:pt idx="49">
                  <c:v>0.99758458085151214</c:v>
                </c:pt>
                <c:pt idx="50">
                  <c:v>0.99748462883957867</c:v>
                </c:pt>
                <c:pt idx="51">
                  <c:v>0.99731392016166742</c:v>
                </c:pt>
                <c:pt idx="52">
                  <c:v>0.99731086105244171</c:v>
                </c:pt>
                <c:pt idx="53">
                  <c:v>0.99729436692527862</c:v>
                </c:pt>
                <c:pt idx="54">
                  <c:v>0.99726305316194852</c:v>
                </c:pt>
                <c:pt idx="55">
                  <c:v>0.99718275998218497</c:v>
                </c:pt>
                <c:pt idx="56">
                  <c:v>0.99714176822939049</c:v>
                </c:pt>
                <c:pt idx="57">
                  <c:v>0.99712559925152267</c:v>
                </c:pt>
                <c:pt idx="58">
                  <c:v>0.99712002426337576</c:v>
                </c:pt>
                <c:pt idx="59">
                  <c:v>0.99691278933962812</c:v>
                </c:pt>
                <c:pt idx="60">
                  <c:v>0.99691162544765399</c:v>
                </c:pt>
                <c:pt idx="61">
                  <c:v>0.99687105389852781</c:v>
                </c:pt>
                <c:pt idx="62">
                  <c:v>0.99686820657589037</c:v>
                </c:pt>
                <c:pt idx="63">
                  <c:v>0.99684609594061946</c:v>
                </c:pt>
                <c:pt idx="64">
                  <c:v>0.99675774640077408</c:v>
                </c:pt>
                <c:pt idx="65">
                  <c:v>0.99659363552853963</c:v>
                </c:pt>
                <c:pt idx="66">
                  <c:v>0.99621143671390611</c:v>
                </c:pt>
                <c:pt idx="67">
                  <c:v>0.99617887110370051</c:v>
                </c:pt>
                <c:pt idx="68">
                  <c:v>0.99608368464453823</c:v>
                </c:pt>
                <c:pt idx="69">
                  <c:v>0.9960444439106374</c:v>
                </c:pt>
                <c:pt idx="70">
                  <c:v>0.99597844975524985</c:v>
                </c:pt>
                <c:pt idx="71">
                  <c:v>0.99597720691192526</c:v>
                </c:pt>
                <c:pt idx="72">
                  <c:v>0.99593484030564627</c:v>
                </c:pt>
                <c:pt idx="73">
                  <c:v>0.99566550991171043</c:v>
                </c:pt>
                <c:pt idx="74">
                  <c:v>0.99563251580955026</c:v>
                </c:pt>
                <c:pt idx="75">
                  <c:v>0.99562201200274736</c:v>
                </c:pt>
                <c:pt idx="76">
                  <c:v>0.9954384158813111</c:v>
                </c:pt>
                <c:pt idx="77">
                  <c:v>0.99530950262040352</c:v>
                </c:pt>
                <c:pt idx="78">
                  <c:v>0.99520554179232645</c:v>
                </c:pt>
                <c:pt idx="79">
                  <c:v>0.99506915175955191</c:v>
                </c:pt>
                <c:pt idx="80">
                  <c:v>0.99504876842467072</c:v>
                </c:pt>
                <c:pt idx="81">
                  <c:v>0.99504656588797846</c:v>
                </c:pt>
                <c:pt idx="82">
                  <c:v>0.99482025797700779</c:v>
                </c:pt>
                <c:pt idx="83">
                  <c:v>0.99479413692980756</c:v>
                </c:pt>
                <c:pt idx="84">
                  <c:v>0.99472899502058454</c:v>
                </c:pt>
                <c:pt idx="85">
                  <c:v>0.99433191715792679</c:v>
                </c:pt>
                <c:pt idx="86">
                  <c:v>0.9942213208395132</c:v>
                </c:pt>
                <c:pt idx="87">
                  <c:v>0.99420987285273865</c:v>
                </c:pt>
                <c:pt idx="88">
                  <c:v>0.9941601258185695</c:v>
                </c:pt>
                <c:pt idx="89">
                  <c:v>0.99410317744911736</c:v>
                </c:pt>
                <c:pt idx="90">
                  <c:v>0.99410261466304051</c:v>
                </c:pt>
                <c:pt idx="91">
                  <c:v>0.99396871796165431</c:v>
                </c:pt>
                <c:pt idx="92">
                  <c:v>0.99388566451440041</c:v>
                </c:pt>
                <c:pt idx="93">
                  <c:v>0.99344560048116015</c:v>
                </c:pt>
                <c:pt idx="94">
                  <c:v>0.99344030646300674</c:v>
                </c:pt>
                <c:pt idx="95">
                  <c:v>0.99333115048290765</c:v>
                </c:pt>
                <c:pt idx="96">
                  <c:v>0.99283819126116113</c:v>
                </c:pt>
                <c:pt idx="97">
                  <c:v>0.99270987935288424</c:v>
                </c:pt>
                <c:pt idx="98">
                  <c:v>0.99267750451284675</c:v>
                </c:pt>
                <c:pt idx="99">
                  <c:v>0.9923134163065872</c:v>
                </c:pt>
                <c:pt idx="100">
                  <c:v>0.99230254041274146</c:v>
                </c:pt>
                <c:pt idx="101">
                  <c:v>0.99210448219266856</c:v>
                </c:pt>
                <c:pt idx="102">
                  <c:v>0.99202239050408947</c:v>
                </c:pt>
                <c:pt idx="103">
                  <c:v>0.99142785505320274</c:v>
                </c:pt>
                <c:pt idx="104">
                  <c:v>0.99107024037314806</c:v>
                </c:pt>
                <c:pt idx="105">
                  <c:v>0.99106018166267562</c:v>
                </c:pt>
                <c:pt idx="106">
                  <c:v>0.99087977472211608</c:v>
                </c:pt>
                <c:pt idx="107">
                  <c:v>0.99084656382822145</c:v>
                </c:pt>
                <c:pt idx="108">
                  <c:v>0.99078827075411424</c:v>
                </c:pt>
                <c:pt idx="109">
                  <c:v>0.99051459949674303</c:v>
                </c:pt>
                <c:pt idx="110">
                  <c:v>0.99028760045613329</c:v>
                </c:pt>
                <c:pt idx="111">
                  <c:v>0.99010233539283798</c:v>
                </c:pt>
                <c:pt idx="112">
                  <c:v>0.99003801891547971</c:v>
                </c:pt>
                <c:pt idx="113">
                  <c:v>0.98989108896815226</c:v>
                </c:pt>
                <c:pt idx="114">
                  <c:v>0.98984013606012056</c:v>
                </c:pt>
                <c:pt idx="115">
                  <c:v>0.98983219139036893</c:v>
                </c:pt>
                <c:pt idx="116">
                  <c:v>0.98966998653323945</c:v>
                </c:pt>
                <c:pt idx="117">
                  <c:v>0.98965706032240397</c:v>
                </c:pt>
                <c:pt idx="118">
                  <c:v>0.98955223270918879</c:v>
                </c:pt>
                <c:pt idx="119">
                  <c:v>0.9895288241969703</c:v>
                </c:pt>
                <c:pt idx="120">
                  <c:v>0.98937014525345768</c:v>
                </c:pt>
                <c:pt idx="121">
                  <c:v>0.98907488788191955</c:v>
                </c:pt>
                <c:pt idx="122">
                  <c:v>0.98889781923864573</c:v>
                </c:pt>
                <c:pt idx="123">
                  <c:v>0.98885111669041537</c:v>
                </c:pt>
                <c:pt idx="124">
                  <c:v>0.98872558322738668</c:v>
                </c:pt>
                <c:pt idx="125">
                  <c:v>0.98861865699276363</c:v>
                </c:pt>
                <c:pt idx="126">
                  <c:v>0.98855176915001441</c:v>
                </c:pt>
                <c:pt idx="127">
                  <c:v>0.98818495626276148</c:v>
                </c:pt>
                <c:pt idx="128">
                  <c:v>0.98792597922880465</c:v>
                </c:pt>
                <c:pt idx="129">
                  <c:v>0.98783437070200353</c:v>
                </c:pt>
                <c:pt idx="130">
                  <c:v>0.98781248986126102</c:v>
                </c:pt>
                <c:pt idx="131">
                  <c:v>0.98780514129767216</c:v>
                </c:pt>
                <c:pt idx="132">
                  <c:v>0.98769396500644191</c:v>
                </c:pt>
                <c:pt idx="133">
                  <c:v>0.98757240405709878</c:v>
                </c:pt>
                <c:pt idx="134">
                  <c:v>0.98737156869321518</c:v>
                </c:pt>
                <c:pt idx="135">
                  <c:v>0.98705287540382036</c:v>
                </c:pt>
                <c:pt idx="136">
                  <c:v>0.98690931201394261</c:v>
                </c:pt>
                <c:pt idx="137">
                  <c:v>0.98679613174646164</c:v>
                </c:pt>
                <c:pt idx="138">
                  <c:v>0.98678396309808702</c:v>
                </c:pt>
                <c:pt idx="139">
                  <c:v>0.9867191078978893</c:v>
                </c:pt>
                <c:pt idx="140">
                  <c:v>0.98611394358558957</c:v>
                </c:pt>
                <c:pt idx="141">
                  <c:v>0.98549248497684849</c:v>
                </c:pt>
                <c:pt idx="142">
                  <c:v>0.98519215056958409</c:v>
                </c:pt>
                <c:pt idx="143">
                  <c:v>0.98494644894407057</c:v>
                </c:pt>
                <c:pt idx="144">
                  <c:v>0.98485258967596823</c:v>
                </c:pt>
                <c:pt idx="145">
                  <c:v>0.9843996114160749</c:v>
                </c:pt>
                <c:pt idx="146">
                  <c:v>0.98335493592253709</c:v>
                </c:pt>
                <c:pt idx="147">
                  <c:v>0.98319042795192857</c:v>
                </c:pt>
                <c:pt idx="148">
                  <c:v>0.98305134510435055</c:v>
                </c:pt>
                <c:pt idx="149">
                  <c:v>0.98296347880005441</c:v>
                </c:pt>
                <c:pt idx="150">
                  <c:v>0.98293585304232767</c:v>
                </c:pt>
                <c:pt idx="151">
                  <c:v>0.98283283256489951</c:v>
                </c:pt>
                <c:pt idx="152">
                  <c:v>0.98276353154218166</c:v>
                </c:pt>
                <c:pt idx="153">
                  <c:v>0.9824706029434771</c:v>
                </c:pt>
                <c:pt idx="154">
                  <c:v>0.98230448016026894</c:v>
                </c:pt>
                <c:pt idx="155">
                  <c:v>0.98217873747561513</c:v>
                </c:pt>
                <c:pt idx="156">
                  <c:v>0.98201842052215726</c:v>
                </c:pt>
                <c:pt idx="157">
                  <c:v>0.98199634457740115</c:v>
                </c:pt>
                <c:pt idx="158">
                  <c:v>0.98189645081065047</c:v>
                </c:pt>
                <c:pt idx="159">
                  <c:v>0.98125963484204981</c:v>
                </c:pt>
                <c:pt idx="160">
                  <c:v>0.9809162743740476</c:v>
                </c:pt>
                <c:pt idx="161">
                  <c:v>0.98032067147552349</c:v>
                </c:pt>
                <c:pt idx="162">
                  <c:v>0.97999167903358275</c:v>
                </c:pt>
                <c:pt idx="163">
                  <c:v>0.97945705674350447</c:v>
                </c:pt>
                <c:pt idx="164">
                  <c:v>0.9792687136848528</c:v>
                </c:pt>
                <c:pt idx="165">
                  <c:v>0.97913203021012374</c:v>
                </c:pt>
                <c:pt idx="166">
                  <c:v>0.97905863586848896</c:v>
                </c:pt>
                <c:pt idx="167">
                  <c:v>0.9785359667480229</c:v>
                </c:pt>
                <c:pt idx="168">
                  <c:v>0.97835277897753914</c:v>
                </c:pt>
                <c:pt idx="169">
                  <c:v>0.978259144633843</c:v>
                </c:pt>
                <c:pt idx="170">
                  <c:v>0.97799519955390257</c:v>
                </c:pt>
                <c:pt idx="171">
                  <c:v>0.97750030996529402</c:v>
                </c:pt>
                <c:pt idx="172">
                  <c:v>0.97746697859631737</c:v>
                </c:pt>
                <c:pt idx="173">
                  <c:v>0.97655776247344905</c:v>
                </c:pt>
                <c:pt idx="174">
                  <c:v>0.97651776219573883</c:v>
                </c:pt>
                <c:pt idx="175">
                  <c:v>0.97592508905423658</c:v>
                </c:pt>
                <c:pt idx="176">
                  <c:v>0.97564406444668139</c:v>
                </c:pt>
                <c:pt idx="177">
                  <c:v>0.97513518759546158</c:v>
                </c:pt>
                <c:pt idx="178">
                  <c:v>0.97513236510738377</c:v>
                </c:pt>
                <c:pt idx="179">
                  <c:v>0.97502205632588002</c:v>
                </c:pt>
                <c:pt idx="180">
                  <c:v>0.97498028124853187</c:v>
                </c:pt>
                <c:pt idx="181">
                  <c:v>0.97473407387057409</c:v>
                </c:pt>
                <c:pt idx="182">
                  <c:v>0.97420012143157897</c:v>
                </c:pt>
                <c:pt idx="183">
                  <c:v>0.97411211205668136</c:v>
                </c:pt>
                <c:pt idx="184">
                  <c:v>0.97371189040599559</c:v>
                </c:pt>
                <c:pt idx="185">
                  <c:v>0.97343331453341841</c:v>
                </c:pt>
                <c:pt idx="186">
                  <c:v>0.97289501978023496</c:v>
                </c:pt>
                <c:pt idx="187">
                  <c:v>0.97287745053989327</c:v>
                </c:pt>
                <c:pt idx="188">
                  <c:v>0.97049152416395368</c:v>
                </c:pt>
                <c:pt idx="189">
                  <c:v>0.96980203439365864</c:v>
                </c:pt>
                <c:pt idx="190">
                  <c:v>0.96952036987026713</c:v>
                </c:pt>
                <c:pt idx="191">
                  <c:v>0.96943238738877513</c:v>
                </c:pt>
                <c:pt idx="192">
                  <c:v>0.96938197648438851</c:v>
                </c:pt>
                <c:pt idx="193">
                  <c:v>0.96918617653458838</c:v>
                </c:pt>
                <c:pt idx="194">
                  <c:v>0.96833376999361576</c:v>
                </c:pt>
                <c:pt idx="195">
                  <c:v>0.9680713925085207</c:v>
                </c:pt>
                <c:pt idx="196">
                  <c:v>0.96741626907173817</c:v>
                </c:pt>
                <c:pt idx="197">
                  <c:v>0.96680498102871604</c:v>
                </c:pt>
                <c:pt idx="198">
                  <c:v>0.96666376274622712</c:v>
                </c:pt>
                <c:pt idx="199">
                  <c:v>0.96604704803400632</c:v>
                </c:pt>
                <c:pt idx="200">
                  <c:v>0.96595982325537166</c:v>
                </c:pt>
                <c:pt idx="201">
                  <c:v>0.96586492823591164</c:v>
                </c:pt>
                <c:pt idx="202">
                  <c:v>0.96581888423256956</c:v>
                </c:pt>
                <c:pt idx="203">
                  <c:v>0.96569404293596739</c:v>
                </c:pt>
                <c:pt idx="204">
                  <c:v>0.96537045320406789</c:v>
                </c:pt>
                <c:pt idx="205">
                  <c:v>0.96530389697257846</c:v>
                </c:pt>
                <c:pt idx="206">
                  <c:v>0.965140779282045</c:v>
                </c:pt>
                <c:pt idx="207">
                  <c:v>0.96508340464334896</c:v>
                </c:pt>
                <c:pt idx="208">
                  <c:v>0.9634150723192576</c:v>
                </c:pt>
                <c:pt idx="209">
                  <c:v>0.96331217949542536</c:v>
                </c:pt>
                <c:pt idx="210">
                  <c:v>0.96288142516186537</c:v>
                </c:pt>
                <c:pt idx="211">
                  <c:v>0.96260339421353924</c:v>
                </c:pt>
                <c:pt idx="212">
                  <c:v>0.9623744260854884</c:v>
                </c:pt>
                <c:pt idx="213">
                  <c:v>0.95940866460574026</c:v>
                </c:pt>
                <c:pt idx="214">
                  <c:v>0.9592780710154305</c:v>
                </c:pt>
                <c:pt idx="215">
                  <c:v>0.9585368700326834</c:v>
                </c:pt>
                <c:pt idx="216">
                  <c:v>0.95822384278919293</c:v>
                </c:pt>
                <c:pt idx="217">
                  <c:v>0.95777884353017162</c:v>
                </c:pt>
                <c:pt idx="218">
                  <c:v>0.95772218235170881</c:v>
                </c:pt>
                <c:pt idx="219">
                  <c:v>0.95739087803157197</c:v>
                </c:pt>
                <c:pt idx="220">
                  <c:v>0.95681752524054786</c:v>
                </c:pt>
                <c:pt idx="221">
                  <c:v>0.95672644606852419</c:v>
                </c:pt>
                <c:pt idx="222">
                  <c:v>0.95574091410423967</c:v>
                </c:pt>
                <c:pt idx="223">
                  <c:v>0.95559667907171719</c:v>
                </c:pt>
                <c:pt idx="224">
                  <c:v>0.95495606584234072</c:v>
                </c:pt>
                <c:pt idx="225">
                  <c:v>0.95433050401680264</c:v>
                </c:pt>
                <c:pt idx="226">
                  <c:v>0.95405886841153686</c:v>
                </c:pt>
                <c:pt idx="227">
                  <c:v>0.95319094895822454</c:v>
                </c:pt>
                <c:pt idx="228">
                  <c:v>0.95216097326763938</c:v>
                </c:pt>
                <c:pt idx="229">
                  <c:v>0.95199096417684881</c:v>
                </c:pt>
                <c:pt idx="230">
                  <c:v>0.9500863393617901</c:v>
                </c:pt>
                <c:pt idx="231">
                  <c:v>0.94981518654740216</c:v>
                </c:pt>
                <c:pt idx="232">
                  <c:v>0.94909485077443601</c:v>
                </c:pt>
                <c:pt idx="233">
                  <c:v>0.94818789827213601</c:v>
                </c:pt>
                <c:pt idx="234">
                  <c:v>0.94658688345820274</c:v>
                </c:pt>
                <c:pt idx="235">
                  <c:v>0.9462265434476671</c:v>
                </c:pt>
                <c:pt idx="236">
                  <c:v>0.94596880882795931</c:v>
                </c:pt>
                <c:pt idx="237">
                  <c:v>0.94572740255872112</c:v>
                </c:pt>
                <c:pt idx="238">
                  <c:v>0.94499158975340902</c:v>
                </c:pt>
                <c:pt idx="239">
                  <c:v>0.94458174209285362</c:v>
                </c:pt>
                <c:pt idx="240">
                  <c:v>0.94422613622460627</c:v>
                </c:pt>
                <c:pt idx="241">
                  <c:v>0.94324269986320952</c:v>
                </c:pt>
                <c:pt idx="242">
                  <c:v>0.94251128570015807</c:v>
                </c:pt>
                <c:pt idx="243">
                  <c:v>0.94081050448713854</c:v>
                </c:pt>
                <c:pt idx="244">
                  <c:v>0.94074588277138582</c:v>
                </c:pt>
                <c:pt idx="245">
                  <c:v>0.93983316138275619</c:v>
                </c:pt>
                <c:pt idx="246">
                  <c:v>0.9373479830550917</c:v>
                </c:pt>
                <c:pt idx="247">
                  <c:v>0.93662016236426315</c:v>
                </c:pt>
                <c:pt idx="248">
                  <c:v>0.93554427897492909</c:v>
                </c:pt>
                <c:pt idx="249">
                  <c:v>0.9352552041185096</c:v>
                </c:pt>
                <c:pt idx="250">
                  <c:v>0.9342507705667491</c:v>
                </c:pt>
                <c:pt idx="251">
                  <c:v>0.9339244676620434</c:v>
                </c:pt>
                <c:pt idx="252">
                  <c:v>0.93384817103081708</c:v>
                </c:pt>
                <c:pt idx="253">
                  <c:v>0.93376414082506665</c:v>
                </c:pt>
                <c:pt idx="254">
                  <c:v>0.93319031285553555</c:v>
                </c:pt>
                <c:pt idx="255">
                  <c:v>0.93156081879061536</c:v>
                </c:pt>
                <c:pt idx="256">
                  <c:v>0.93091734922640323</c:v>
                </c:pt>
                <c:pt idx="257">
                  <c:v>0.93025310300969</c:v>
                </c:pt>
                <c:pt idx="258">
                  <c:v>0.92937916718499514</c:v>
                </c:pt>
                <c:pt idx="259">
                  <c:v>0.9292242930561424</c:v>
                </c:pt>
                <c:pt idx="260">
                  <c:v>0.92466162879392944</c:v>
                </c:pt>
                <c:pt idx="261">
                  <c:v>0.92384377225729231</c:v>
                </c:pt>
                <c:pt idx="262">
                  <c:v>0.92310901917080168</c:v>
                </c:pt>
                <c:pt idx="263">
                  <c:v>0.9229872321520447</c:v>
                </c:pt>
                <c:pt idx="264">
                  <c:v>0.91960372577513638</c:v>
                </c:pt>
                <c:pt idx="265">
                  <c:v>0.91744810066258387</c:v>
                </c:pt>
                <c:pt idx="266">
                  <c:v>0.91736864842865784</c:v>
                </c:pt>
                <c:pt idx="267">
                  <c:v>0.91142810003585695</c:v>
                </c:pt>
                <c:pt idx="268">
                  <c:v>0.91078454302697343</c:v>
                </c:pt>
                <c:pt idx="269">
                  <c:v>0.91002599592591871</c:v>
                </c:pt>
                <c:pt idx="270">
                  <c:v>0.90980290096456984</c:v>
                </c:pt>
                <c:pt idx="271">
                  <c:v>0.90976637844970554</c:v>
                </c:pt>
                <c:pt idx="272">
                  <c:v>0.90812804402191161</c:v>
                </c:pt>
                <c:pt idx="273">
                  <c:v>0.90401023862528063</c:v>
                </c:pt>
                <c:pt idx="274">
                  <c:v>0.9039861215720949</c:v>
                </c:pt>
                <c:pt idx="275">
                  <c:v>0.90120114300389798</c:v>
                </c:pt>
                <c:pt idx="276">
                  <c:v>0.90075292716055844</c:v>
                </c:pt>
                <c:pt idx="277">
                  <c:v>0.89965332213976046</c:v>
                </c:pt>
                <c:pt idx="278">
                  <c:v>0.89750146120049046</c:v>
                </c:pt>
                <c:pt idx="279">
                  <c:v>0.8940027286649701</c:v>
                </c:pt>
                <c:pt idx="280">
                  <c:v>0.88902817206100404</c:v>
                </c:pt>
                <c:pt idx="281">
                  <c:v>0.88664921664995111</c:v>
                </c:pt>
                <c:pt idx="282">
                  <c:v>0.88436150943273739</c:v>
                </c:pt>
                <c:pt idx="283">
                  <c:v>0.88106051363236804</c:v>
                </c:pt>
                <c:pt idx="284">
                  <c:v>0.8796352806015848</c:v>
                </c:pt>
                <c:pt idx="285">
                  <c:v>0.87756985651708486</c:v>
                </c:pt>
                <c:pt idx="286">
                  <c:v>0.87381245257313755</c:v>
                </c:pt>
                <c:pt idx="287">
                  <c:v>0.87189512686306692</c:v>
                </c:pt>
                <c:pt idx="288">
                  <c:v>0.86823606047500534</c:v>
                </c:pt>
                <c:pt idx="289">
                  <c:v>0.86707526334792062</c:v>
                </c:pt>
                <c:pt idx="290">
                  <c:v>0.8662326999885821</c:v>
                </c:pt>
                <c:pt idx="291">
                  <c:v>0.86482233162044753</c:v>
                </c:pt>
                <c:pt idx="292">
                  <c:v>0.86320700249692617</c:v>
                </c:pt>
                <c:pt idx="293">
                  <c:v>0.86218834881216966</c:v>
                </c:pt>
                <c:pt idx="294">
                  <c:v>0.86199149939695718</c:v>
                </c:pt>
                <c:pt idx="295">
                  <c:v>0.86043534396575017</c:v>
                </c:pt>
                <c:pt idx="296">
                  <c:v>0.85723160687350475</c:v>
                </c:pt>
                <c:pt idx="297">
                  <c:v>0.85477502867110267</c:v>
                </c:pt>
                <c:pt idx="298">
                  <c:v>0.85418297033068902</c:v>
                </c:pt>
                <c:pt idx="299">
                  <c:v>0.85413701543587783</c:v>
                </c:pt>
                <c:pt idx="300">
                  <c:v>0.85382765606362565</c:v>
                </c:pt>
                <c:pt idx="301">
                  <c:v>0.84977326907552686</c:v>
                </c:pt>
                <c:pt idx="302">
                  <c:v>0.83973740900142912</c:v>
                </c:pt>
                <c:pt idx="303">
                  <c:v>0.83830005466601587</c:v>
                </c:pt>
                <c:pt idx="304">
                  <c:v>0.83667151990453359</c:v>
                </c:pt>
                <c:pt idx="305">
                  <c:v>0.83650992427223658</c:v>
                </c:pt>
                <c:pt idx="306">
                  <c:v>0.83265073250827326</c:v>
                </c:pt>
                <c:pt idx="307">
                  <c:v>0.83241002888624627</c:v>
                </c:pt>
                <c:pt idx="308">
                  <c:v>0.82828243902530285</c:v>
                </c:pt>
                <c:pt idx="309">
                  <c:v>0.8253241574287179</c:v>
                </c:pt>
                <c:pt idx="310">
                  <c:v>0.82530818158843733</c:v>
                </c:pt>
                <c:pt idx="311">
                  <c:v>0.81980927212711929</c:v>
                </c:pt>
                <c:pt idx="312">
                  <c:v>0.81583548813834228</c:v>
                </c:pt>
                <c:pt idx="313">
                  <c:v>0.81450870381131091</c:v>
                </c:pt>
                <c:pt idx="314">
                  <c:v>0.81175451469132565</c:v>
                </c:pt>
                <c:pt idx="315">
                  <c:v>0.8117158829274721</c:v>
                </c:pt>
                <c:pt idx="316">
                  <c:v>0.81161092833309467</c:v>
                </c:pt>
                <c:pt idx="317">
                  <c:v>0.80229535296244325</c:v>
                </c:pt>
                <c:pt idx="318">
                  <c:v>0.80047077018739199</c:v>
                </c:pt>
                <c:pt idx="319">
                  <c:v>0.79501629226083759</c:v>
                </c:pt>
                <c:pt idx="320">
                  <c:v>0.78384618940365014</c:v>
                </c:pt>
                <c:pt idx="321">
                  <c:v>0.78331625823496931</c:v>
                </c:pt>
                <c:pt idx="322">
                  <c:v>0.77941140980697454</c:v>
                </c:pt>
                <c:pt idx="323">
                  <c:v>0.76988885478397107</c:v>
                </c:pt>
                <c:pt idx="324">
                  <c:v>0.75393579486614493</c:v>
                </c:pt>
                <c:pt idx="325">
                  <c:v>0.75194896847476533</c:v>
                </c:pt>
                <c:pt idx="326">
                  <c:v>0.74758159972307847</c:v>
                </c:pt>
                <c:pt idx="327">
                  <c:v>0.74379312779110762</c:v>
                </c:pt>
                <c:pt idx="328">
                  <c:v>0.73127779003578552</c:v>
                </c:pt>
                <c:pt idx="329">
                  <c:v>0.72070445668606509</c:v>
                </c:pt>
                <c:pt idx="330">
                  <c:v>0.7155647026354901</c:v>
                </c:pt>
                <c:pt idx="331">
                  <c:v>0.71285015649701711</c:v>
                </c:pt>
                <c:pt idx="332">
                  <c:v>0.7104720319498079</c:v>
                </c:pt>
                <c:pt idx="333">
                  <c:v>0.7016361555897479</c:v>
                </c:pt>
                <c:pt idx="334">
                  <c:v>0.69826327600349125</c:v>
                </c:pt>
                <c:pt idx="335">
                  <c:v>0.6942973099629971</c:v>
                </c:pt>
                <c:pt idx="336">
                  <c:v>0.68780574018683038</c:v>
                </c:pt>
                <c:pt idx="337">
                  <c:v>0.68241512002198523</c:v>
                </c:pt>
                <c:pt idx="338">
                  <c:v>0.65931122304165168</c:v>
                </c:pt>
                <c:pt idx="339">
                  <c:v>0.65831110748291788</c:v>
                </c:pt>
                <c:pt idx="340">
                  <c:v>0.65612850015000967</c:v>
                </c:pt>
                <c:pt idx="341">
                  <c:v>0.65529112405680878</c:v>
                </c:pt>
                <c:pt idx="342">
                  <c:v>0.65009354818099752</c:v>
                </c:pt>
                <c:pt idx="343">
                  <c:v>0.63018080523790443</c:v>
                </c:pt>
                <c:pt idx="344">
                  <c:v>0.6196871968542601</c:v>
                </c:pt>
                <c:pt idx="345">
                  <c:v>0.61763986372614776</c:v>
                </c:pt>
                <c:pt idx="346">
                  <c:v>0.61194386190834971</c:v>
                </c:pt>
                <c:pt idx="347">
                  <c:v>0.60719931780788094</c:v>
                </c:pt>
                <c:pt idx="348">
                  <c:v>0.60584368421475676</c:v>
                </c:pt>
                <c:pt idx="349">
                  <c:v>0.60582527403876363</c:v>
                </c:pt>
                <c:pt idx="350">
                  <c:v>0.59548422364027587</c:v>
                </c:pt>
                <c:pt idx="351">
                  <c:v>0.59364195514726614</c:v>
                </c:pt>
                <c:pt idx="352">
                  <c:v>0.58824197701041303</c:v>
                </c:pt>
                <c:pt idx="353">
                  <c:v>0.58819586923998313</c:v>
                </c:pt>
                <c:pt idx="354">
                  <c:v>0.5816672280617835</c:v>
                </c:pt>
                <c:pt idx="355">
                  <c:v>0.57707824234007576</c:v>
                </c:pt>
                <c:pt idx="356">
                  <c:v>0.56290416444204583</c:v>
                </c:pt>
                <c:pt idx="357">
                  <c:v>0.54471358326501218</c:v>
                </c:pt>
                <c:pt idx="358">
                  <c:v>0.53850346252185743</c:v>
                </c:pt>
                <c:pt idx="359">
                  <c:v>0.51451671362506446</c:v>
                </c:pt>
                <c:pt idx="360">
                  <c:v>0.50388467537189552</c:v>
                </c:pt>
                <c:pt idx="361">
                  <c:v>0.49645850447186241</c:v>
                </c:pt>
                <c:pt idx="362">
                  <c:v>0.49592870800265881</c:v>
                </c:pt>
                <c:pt idx="363">
                  <c:v>0.48930670598747567</c:v>
                </c:pt>
                <c:pt idx="364">
                  <c:v>0.48852056048658504</c:v>
                </c:pt>
                <c:pt idx="365">
                  <c:v>0.48845536705633086</c:v>
                </c:pt>
                <c:pt idx="366">
                  <c:v>0.47077656296261255</c:v>
                </c:pt>
                <c:pt idx="367">
                  <c:v>0.47056495489149031</c:v>
                </c:pt>
                <c:pt idx="368">
                  <c:v>0.46801508628066657</c:v>
                </c:pt>
                <c:pt idx="369">
                  <c:v>0.4610466624275657</c:v>
                </c:pt>
                <c:pt idx="370">
                  <c:v>0.45856061112775104</c:v>
                </c:pt>
                <c:pt idx="371">
                  <c:v>0.4576122233647279</c:v>
                </c:pt>
                <c:pt idx="372">
                  <c:v>0.44896761818315684</c:v>
                </c:pt>
                <c:pt idx="373">
                  <c:v>0.44773804158166736</c:v>
                </c:pt>
                <c:pt idx="374">
                  <c:v>0.44601461362768058</c:v>
                </c:pt>
                <c:pt idx="375">
                  <c:v>0.43393423238747714</c:v>
                </c:pt>
                <c:pt idx="376">
                  <c:v>0.43199811593039467</c:v>
                </c:pt>
                <c:pt idx="377">
                  <c:v>0.42138052508898055</c:v>
                </c:pt>
                <c:pt idx="378">
                  <c:v>0.42039209666102867</c:v>
                </c:pt>
                <c:pt idx="379">
                  <c:v>0.4176989129076415</c:v>
                </c:pt>
                <c:pt idx="380">
                  <c:v>0.41743397464405896</c:v>
                </c:pt>
                <c:pt idx="381">
                  <c:v>0.41599203895395481</c:v>
                </c:pt>
                <c:pt idx="382">
                  <c:v>0.40138071168703993</c:v>
                </c:pt>
                <c:pt idx="383">
                  <c:v>0.39966088540525369</c:v>
                </c:pt>
                <c:pt idx="384">
                  <c:v>0.39768604663304474</c:v>
                </c:pt>
                <c:pt idx="385">
                  <c:v>0.3939514208875482</c:v>
                </c:pt>
                <c:pt idx="386">
                  <c:v>0.38888554392734187</c:v>
                </c:pt>
                <c:pt idx="387">
                  <c:v>0.38467441237431577</c:v>
                </c:pt>
                <c:pt idx="388">
                  <c:v>0.38140877433540393</c:v>
                </c:pt>
                <c:pt idx="389">
                  <c:v>0.38000388714490968</c:v>
                </c:pt>
                <c:pt idx="390">
                  <c:v>0.37922649966637956</c:v>
                </c:pt>
                <c:pt idx="391">
                  <c:v>0.37460318375111196</c:v>
                </c:pt>
                <c:pt idx="392">
                  <c:v>0.37422717978387465</c:v>
                </c:pt>
                <c:pt idx="393">
                  <c:v>0.35483609943392747</c:v>
                </c:pt>
                <c:pt idx="394">
                  <c:v>0.35348663703654076</c:v>
                </c:pt>
                <c:pt idx="395">
                  <c:v>0.34677788485300648</c:v>
                </c:pt>
                <c:pt idx="396">
                  <c:v>0.3380750669417727</c:v>
                </c:pt>
                <c:pt idx="397">
                  <c:v>0.33771726012482239</c:v>
                </c:pt>
                <c:pt idx="398">
                  <c:v>0.33664473562080321</c:v>
                </c:pt>
                <c:pt idx="399">
                  <c:v>0.33620054035674823</c:v>
                </c:pt>
                <c:pt idx="400">
                  <c:v>0.32914188177232162</c:v>
                </c:pt>
                <c:pt idx="401">
                  <c:v>0.32296223992257578</c:v>
                </c:pt>
                <c:pt idx="402">
                  <c:v>0.32198654885897099</c:v>
                </c:pt>
                <c:pt idx="403">
                  <c:v>0.31698042648001146</c:v>
                </c:pt>
                <c:pt idx="404">
                  <c:v>0.31346941914849707</c:v>
                </c:pt>
                <c:pt idx="405">
                  <c:v>0.30637852091436818</c:v>
                </c:pt>
                <c:pt idx="406">
                  <c:v>0.30514833726720997</c:v>
                </c:pt>
                <c:pt idx="407">
                  <c:v>0.30166452419636258</c:v>
                </c:pt>
                <c:pt idx="408">
                  <c:v>0.29240256999964809</c:v>
                </c:pt>
                <c:pt idx="409">
                  <c:v>0.2891537223712165</c:v>
                </c:pt>
                <c:pt idx="410">
                  <c:v>0.28379861871958351</c:v>
                </c:pt>
                <c:pt idx="411">
                  <c:v>0.28266859616987683</c:v>
                </c:pt>
                <c:pt idx="412">
                  <c:v>0.27852685593908066</c:v>
                </c:pt>
                <c:pt idx="413">
                  <c:v>0.278437304220506</c:v>
                </c:pt>
                <c:pt idx="414">
                  <c:v>0.27703721429765887</c:v>
                </c:pt>
                <c:pt idx="415">
                  <c:v>0.27181519681076816</c:v>
                </c:pt>
                <c:pt idx="416">
                  <c:v>0.27141043843686985</c:v>
                </c:pt>
                <c:pt idx="417">
                  <c:v>0.27129956741319355</c:v>
                </c:pt>
                <c:pt idx="418">
                  <c:v>0.26908650791703531</c:v>
                </c:pt>
                <c:pt idx="419">
                  <c:v>0.26839952173072273</c:v>
                </c:pt>
                <c:pt idx="420">
                  <c:v>0.26366622728982159</c:v>
                </c:pt>
                <c:pt idx="421">
                  <c:v>0.26195430027212147</c:v>
                </c:pt>
                <c:pt idx="422">
                  <c:v>0.26193925895039366</c:v>
                </c:pt>
                <c:pt idx="423">
                  <c:v>0.2607473611920359</c:v>
                </c:pt>
                <c:pt idx="424">
                  <c:v>0.26034745922443708</c:v>
                </c:pt>
                <c:pt idx="425">
                  <c:v>0.25896231104849621</c:v>
                </c:pt>
                <c:pt idx="426">
                  <c:v>0.25756777521082991</c:v>
                </c:pt>
                <c:pt idx="427">
                  <c:v>0.25419483631184048</c:v>
                </c:pt>
                <c:pt idx="428">
                  <c:v>0.25170593197555491</c:v>
                </c:pt>
                <c:pt idx="429">
                  <c:v>0.25055176249395433</c:v>
                </c:pt>
                <c:pt idx="430">
                  <c:v>0.24416794143469817</c:v>
                </c:pt>
                <c:pt idx="431">
                  <c:v>0.23272217662165257</c:v>
                </c:pt>
                <c:pt idx="432">
                  <c:v>0.23017414256477209</c:v>
                </c:pt>
                <c:pt idx="433">
                  <c:v>0.22694068279132176</c:v>
                </c:pt>
                <c:pt idx="434">
                  <c:v>0.22650483678060562</c:v>
                </c:pt>
                <c:pt idx="435">
                  <c:v>0.22343670381751249</c:v>
                </c:pt>
                <c:pt idx="436">
                  <c:v>0.22266313664323908</c:v>
                </c:pt>
                <c:pt idx="437">
                  <c:v>0.21909813931940539</c:v>
                </c:pt>
                <c:pt idx="438">
                  <c:v>0.21896712296314791</c:v>
                </c:pt>
                <c:pt idx="439">
                  <c:v>0.21894144725864267</c:v>
                </c:pt>
                <c:pt idx="440">
                  <c:v>0.21868370588829197</c:v>
                </c:pt>
                <c:pt idx="441">
                  <c:v>0.21682430102584271</c:v>
                </c:pt>
                <c:pt idx="442">
                  <c:v>0.21617630802618537</c:v>
                </c:pt>
                <c:pt idx="443">
                  <c:v>0.21027269599798856</c:v>
                </c:pt>
                <c:pt idx="444">
                  <c:v>0.20846430147717168</c:v>
                </c:pt>
                <c:pt idx="445">
                  <c:v>0.20550327002290031</c:v>
                </c:pt>
                <c:pt idx="446">
                  <c:v>0.20380426900025292</c:v>
                </c:pt>
                <c:pt idx="447">
                  <c:v>0.20375282771495878</c:v>
                </c:pt>
                <c:pt idx="448">
                  <c:v>0.20226182486772848</c:v>
                </c:pt>
                <c:pt idx="449">
                  <c:v>0.20196335294727313</c:v>
                </c:pt>
                <c:pt idx="450">
                  <c:v>0.20016775523115959</c:v>
                </c:pt>
                <c:pt idx="451">
                  <c:v>0.19933780910044946</c:v>
                </c:pt>
                <c:pt idx="452">
                  <c:v>0.19910671094912202</c:v>
                </c:pt>
                <c:pt idx="453">
                  <c:v>0.19879707385899112</c:v>
                </c:pt>
                <c:pt idx="454">
                  <c:v>0.19441404321702924</c:v>
                </c:pt>
                <c:pt idx="455">
                  <c:v>0.19425675695631855</c:v>
                </c:pt>
                <c:pt idx="456">
                  <c:v>0.19214294708192742</c:v>
                </c:pt>
                <c:pt idx="457">
                  <c:v>0.19176645505843501</c:v>
                </c:pt>
                <c:pt idx="458">
                  <c:v>0.19166270252078971</c:v>
                </c:pt>
                <c:pt idx="459">
                  <c:v>0.18755716657362609</c:v>
                </c:pt>
                <c:pt idx="460">
                  <c:v>0.18655475695398607</c:v>
                </c:pt>
                <c:pt idx="461">
                  <c:v>0.18599001149567246</c:v>
                </c:pt>
                <c:pt idx="462">
                  <c:v>0.1853218253197218</c:v>
                </c:pt>
                <c:pt idx="463">
                  <c:v>0.18188388993200064</c:v>
                </c:pt>
                <c:pt idx="464">
                  <c:v>0.18044050881976464</c:v>
                </c:pt>
                <c:pt idx="465">
                  <c:v>0.17777044771590531</c:v>
                </c:pt>
                <c:pt idx="466">
                  <c:v>0.17749402665172437</c:v>
                </c:pt>
                <c:pt idx="467">
                  <c:v>0.17748779024651459</c:v>
                </c:pt>
                <c:pt idx="468">
                  <c:v>0.17643958236345453</c:v>
                </c:pt>
                <c:pt idx="469">
                  <c:v>0.17191070293095731</c:v>
                </c:pt>
                <c:pt idx="470">
                  <c:v>0.17142649857668699</c:v>
                </c:pt>
                <c:pt idx="471">
                  <c:v>0.17085195171039813</c:v>
                </c:pt>
                <c:pt idx="472">
                  <c:v>0.17077560214254248</c:v>
                </c:pt>
                <c:pt idx="473">
                  <c:v>0.16844668086814765</c:v>
                </c:pt>
                <c:pt idx="474">
                  <c:v>0.16835164673519057</c:v>
                </c:pt>
                <c:pt idx="475">
                  <c:v>0.16782964596352445</c:v>
                </c:pt>
                <c:pt idx="476">
                  <c:v>0.16710778432899767</c:v>
                </c:pt>
                <c:pt idx="477">
                  <c:v>0.16680146351694972</c:v>
                </c:pt>
                <c:pt idx="478">
                  <c:v>0.16599707383478726</c:v>
                </c:pt>
                <c:pt idx="479">
                  <c:v>0.16527526467873821</c:v>
                </c:pt>
                <c:pt idx="480">
                  <c:v>0.16463785181752807</c:v>
                </c:pt>
                <c:pt idx="481">
                  <c:v>0.16282897582455624</c:v>
                </c:pt>
                <c:pt idx="482">
                  <c:v>0.16066199061736544</c:v>
                </c:pt>
                <c:pt idx="483">
                  <c:v>0.15951877903624517</c:v>
                </c:pt>
                <c:pt idx="484">
                  <c:v>0.15883667520016673</c:v>
                </c:pt>
                <c:pt idx="485">
                  <c:v>0.15629956639452325</c:v>
                </c:pt>
                <c:pt idx="486">
                  <c:v>0.15482903816295229</c:v>
                </c:pt>
                <c:pt idx="487">
                  <c:v>0.15148292937578367</c:v>
                </c:pt>
                <c:pt idx="488">
                  <c:v>0.14907931969861712</c:v>
                </c:pt>
                <c:pt idx="489">
                  <c:v>0.14901714115871689</c:v>
                </c:pt>
                <c:pt idx="490">
                  <c:v>0.13782332599206154</c:v>
                </c:pt>
                <c:pt idx="491">
                  <c:v>0.13777250898533741</c:v>
                </c:pt>
                <c:pt idx="492">
                  <c:v>0.13474827088186833</c:v>
                </c:pt>
                <c:pt idx="493">
                  <c:v>0.12953724961351573</c:v>
                </c:pt>
                <c:pt idx="494">
                  <c:v>0.12933082594757014</c:v>
                </c:pt>
                <c:pt idx="495">
                  <c:v>0.12752978146336819</c:v>
                </c:pt>
                <c:pt idx="496">
                  <c:v>0.12473070112369467</c:v>
                </c:pt>
                <c:pt idx="497">
                  <c:v>0.12087371770719225</c:v>
                </c:pt>
                <c:pt idx="498">
                  <c:v>0.11995882913012751</c:v>
                </c:pt>
                <c:pt idx="499">
                  <c:v>0.11422398223806474</c:v>
                </c:pt>
                <c:pt idx="500">
                  <c:v>0.11328983539094517</c:v>
                </c:pt>
                <c:pt idx="501">
                  <c:v>0.11219201340794906</c:v>
                </c:pt>
                <c:pt idx="502">
                  <c:v>0.11183598512050193</c:v>
                </c:pt>
                <c:pt idx="503">
                  <c:v>0.11073497785092348</c:v>
                </c:pt>
                <c:pt idx="504">
                  <c:v>0.10866827792838413</c:v>
                </c:pt>
                <c:pt idx="505">
                  <c:v>0.10558434486879358</c:v>
                </c:pt>
                <c:pt idx="506">
                  <c:v>0.10110110243122838</c:v>
                </c:pt>
                <c:pt idx="507">
                  <c:v>0.10095088632565369</c:v>
                </c:pt>
                <c:pt idx="508">
                  <c:v>0.10016282092758515</c:v>
                </c:pt>
                <c:pt idx="509">
                  <c:v>9.4062971119763916E-2</c:v>
                </c:pt>
                <c:pt idx="510">
                  <c:v>9.1836879962453599E-2</c:v>
                </c:pt>
                <c:pt idx="511">
                  <c:v>9.0212998954912249E-2</c:v>
                </c:pt>
                <c:pt idx="512">
                  <c:v>8.8559044076633106E-2</c:v>
                </c:pt>
                <c:pt idx="513">
                  <c:v>8.8273222713353944E-2</c:v>
                </c:pt>
                <c:pt idx="514">
                  <c:v>8.742796411180967E-2</c:v>
                </c:pt>
                <c:pt idx="515">
                  <c:v>8.3904269234127651E-2</c:v>
                </c:pt>
                <c:pt idx="516">
                  <c:v>8.3523419561887732E-2</c:v>
                </c:pt>
                <c:pt idx="517">
                  <c:v>8.3376006838186426E-2</c:v>
                </c:pt>
                <c:pt idx="518">
                  <c:v>7.9846251460507542E-2</c:v>
                </c:pt>
                <c:pt idx="519">
                  <c:v>7.4831161132899573E-2</c:v>
                </c:pt>
                <c:pt idx="520">
                  <c:v>7.4692129617884795E-2</c:v>
                </c:pt>
                <c:pt idx="521">
                  <c:v>7.3346815995538564E-2</c:v>
                </c:pt>
                <c:pt idx="522">
                  <c:v>7.1264991432972657E-2</c:v>
                </c:pt>
                <c:pt idx="523">
                  <c:v>6.8516488589848296E-2</c:v>
                </c:pt>
                <c:pt idx="524">
                  <c:v>6.1732476705589033E-2</c:v>
                </c:pt>
                <c:pt idx="525">
                  <c:v>5.9512147251164507E-2</c:v>
                </c:pt>
                <c:pt idx="526">
                  <c:v>5.8573027095680269E-2</c:v>
                </c:pt>
                <c:pt idx="527">
                  <c:v>5.2353018259782391E-2</c:v>
                </c:pt>
                <c:pt idx="528">
                  <c:v>4.9816121572944731E-2</c:v>
                </c:pt>
                <c:pt idx="529">
                  <c:v>4.881904494615865E-2</c:v>
                </c:pt>
                <c:pt idx="530">
                  <c:v>4.6763055010261068E-2</c:v>
                </c:pt>
                <c:pt idx="531">
                  <c:v>4.4622807534139858E-2</c:v>
                </c:pt>
                <c:pt idx="532">
                  <c:v>4.1579683086218198E-2</c:v>
                </c:pt>
                <c:pt idx="533">
                  <c:v>3.5144113619301219E-2</c:v>
                </c:pt>
                <c:pt idx="534">
                  <c:v>3.3982211565303219E-2</c:v>
                </c:pt>
                <c:pt idx="535">
                  <c:v>2.0715343235029122E-2</c:v>
                </c:pt>
                <c:pt idx="536">
                  <c:v>1.8344241410776781E-2</c:v>
                </c:pt>
                <c:pt idx="537">
                  <c:v>1.1682824938437029E-2</c:v>
                </c:pt>
                <c:pt idx="538">
                  <c:v>2.460868910428864E-3</c:v>
                </c:pt>
                <c:pt idx="539">
                  <c:v>1.8770713395855586E-3</c:v>
                </c:pt>
                <c:pt idx="540">
                  <c:v>3.8051750380517503E-7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80-4D7A-877A-EA2BD304384A}"/>
            </c:ext>
          </c:extLst>
        </c:ser>
        <c:ser>
          <c:idx val="2"/>
          <c:order val="2"/>
          <c:tx>
            <c:v>50-year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Extrapolation!$N$14:$O$14</c:f>
              <c:numCache>
                <c:formatCode>General</c:formatCode>
                <c:ptCount val="2"/>
                <c:pt idx="0">
                  <c:v>0</c:v>
                </c:pt>
                <c:pt idx="1">
                  <c:v>20000</c:v>
                </c:pt>
              </c:numCache>
            </c:numRef>
          </c:xVal>
          <c:yVal>
            <c:numRef>
              <c:f>Extrapolation!$N$15:$O$15</c:f>
              <c:numCache>
                <c:formatCode>General</c:formatCode>
                <c:ptCount val="2"/>
                <c:pt idx="0">
                  <c:v>3.8051750380517503E-7</c:v>
                </c:pt>
                <c:pt idx="1">
                  <c:v>3.8051750380517503E-7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80-4D7A-877A-EA2BD3043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82656"/>
        <c:axId val="488980032"/>
      </c:scatterChart>
      <c:valAx>
        <c:axId val="48898265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/>
                  <a:t>Dx (m)</a:t>
                </a:r>
              </a:p>
            </c:rich>
          </c:tx>
          <c:layout>
            <c:manualLayout>
              <c:xMode val="edge"/>
              <c:yMode val="edge"/>
              <c:x val="0.47917872733774602"/>
              <c:y val="0.90322580645161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8980032"/>
        <c:crossesAt val="1.0000000000000005E-7"/>
        <c:crossBetween val="midCat"/>
      </c:valAx>
      <c:valAx>
        <c:axId val="4889800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/>
                  <a:t>probability of exceedance Load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056555269922879E-2"/>
              <c:y val="0.25851595969858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8898265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57150</xdr:rowOff>
        </xdr:from>
        <xdr:to>
          <xdr:col>1</xdr:col>
          <xdr:colOff>57150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95250</xdr:rowOff>
        </xdr:from>
        <xdr:to>
          <xdr:col>3</xdr:col>
          <xdr:colOff>295275</xdr:colOff>
          <xdr:row>1</xdr:row>
          <xdr:rowOff>323850</xdr:rowOff>
        </xdr:to>
        <xdr:sp macro="" textlink="">
          <xdr:nvSpPr>
            <xdr:cNvPr id="6149" name="CommandButton1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87630</xdr:colOff>
      <xdr:row>5</xdr:row>
      <xdr:rowOff>43814</xdr:rowOff>
    </xdr:from>
    <xdr:to>
      <xdr:col>41</xdr:col>
      <xdr:colOff>356234</xdr:colOff>
      <xdr:row>14</xdr:row>
      <xdr:rowOff>45720</xdr:rowOff>
    </xdr:to>
    <xdr:grpSp>
      <xdr:nvGrpSpPr>
        <xdr:cNvPr id="31" name="组合 30"/>
        <xdr:cNvGrpSpPr/>
      </xdr:nvGrpSpPr>
      <xdr:grpSpPr>
        <a:xfrm>
          <a:off x="19975830" y="1158239"/>
          <a:ext cx="2068829" cy="1525906"/>
          <a:chOff x="7513826" y="3827575"/>
          <a:chExt cx="4121484" cy="2460581"/>
        </a:xfrm>
      </xdr:grpSpPr>
      <xdr:grpSp>
        <xdr:nvGrpSpPr>
          <xdr:cNvPr id="32" name="组合 31"/>
          <xdr:cNvGrpSpPr/>
        </xdr:nvGrpSpPr>
        <xdr:grpSpPr>
          <a:xfrm>
            <a:off x="7513826" y="3827575"/>
            <a:ext cx="4121484" cy="439001"/>
            <a:chOff x="4717875" y="4245589"/>
            <a:chExt cx="6524625" cy="771525"/>
          </a:xfrm>
        </xdr:grpSpPr>
        <xdr:pic>
          <xdr:nvPicPr>
            <xdr:cNvPr id="36" name="图片 35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4717875" y="4256900"/>
              <a:ext cx="1619250" cy="666750"/>
            </a:xfrm>
            <a:prstGeom prst="rect">
              <a:avLst/>
            </a:prstGeom>
          </xdr:spPr>
        </xdr:pic>
        <xdr:pic>
          <xdr:nvPicPr>
            <xdr:cNvPr id="37" name="图片 36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299025" y="4245589"/>
              <a:ext cx="4943475" cy="771525"/>
            </a:xfrm>
            <a:prstGeom prst="rect">
              <a:avLst/>
            </a:prstGeom>
          </xdr:spPr>
        </xdr:pic>
      </xdr:grpSp>
      <xdr:pic>
        <xdr:nvPicPr>
          <xdr:cNvPr id="33" name="图片 3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552138" y="4219831"/>
            <a:ext cx="2745329" cy="1245244"/>
          </a:xfrm>
          <a:prstGeom prst="rect">
            <a:avLst/>
          </a:prstGeom>
        </xdr:spPr>
      </xdr:pic>
      <xdr:pic>
        <xdr:nvPicPr>
          <xdr:cNvPr id="34" name="图片 33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7630263" y="5623893"/>
            <a:ext cx="2411960" cy="283003"/>
          </a:xfrm>
          <a:prstGeom prst="rect">
            <a:avLst/>
          </a:prstGeom>
        </xdr:spPr>
      </xdr:pic>
      <xdr:pic>
        <xdr:nvPicPr>
          <xdr:cNvPr id="35" name="图片 34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7630263" y="5970703"/>
            <a:ext cx="1898367" cy="31745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668655</xdr:colOff>
      <xdr:row>1</xdr:row>
      <xdr:rowOff>78105</xdr:rowOff>
    </xdr:from>
    <xdr:to>
      <xdr:col>8</xdr:col>
      <xdr:colOff>327660</xdr:colOff>
      <xdr:row>2</xdr:row>
      <xdr:rowOff>189495</xdr:rowOff>
    </xdr:to>
    <xdr:pic>
      <xdr:nvPicPr>
        <xdr:cNvPr id="2" name="图片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53583"/>
        <a:stretch/>
      </xdr:blipFill>
      <xdr:spPr>
        <a:xfrm>
          <a:off x="3954780" y="249555"/>
          <a:ext cx="2287905" cy="320940"/>
        </a:xfrm>
        <a:prstGeom prst="rect">
          <a:avLst/>
        </a:prstGeom>
      </xdr:spPr>
    </xdr:pic>
    <xdr:clientData/>
  </xdr:twoCellAnchor>
  <xdr:twoCellAnchor editAs="oneCell">
    <xdr:from>
      <xdr:col>5</xdr:col>
      <xdr:colOff>577215</xdr:colOff>
      <xdr:row>2</xdr:row>
      <xdr:rowOff>146685</xdr:rowOff>
    </xdr:from>
    <xdr:to>
      <xdr:col>9</xdr:col>
      <xdr:colOff>68234</xdr:colOff>
      <xdr:row>5</xdr:row>
      <xdr:rowOff>62798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4790" y="527685"/>
          <a:ext cx="2805719" cy="4685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4</xdr:row>
          <xdr:rowOff>133350</xdr:rowOff>
        </xdr:from>
        <xdr:to>
          <xdr:col>3</xdr:col>
          <xdr:colOff>323850</xdr:colOff>
          <xdr:row>5</xdr:row>
          <xdr:rowOff>342900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28575</xdr:rowOff>
        </xdr:from>
        <xdr:to>
          <xdr:col>7</xdr:col>
          <xdr:colOff>190500</xdr:colOff>
          <xdr:row>5</xdr:row>
          <xdr:rowOff>209550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23085</xdr:colOff>
      <xdr:row>13</xdr:row>
      <xdr:rowOff>71045</xdr:rowOff>
    </xdr:from>
    <xdr:to>
      <xdr:col>7</xdr:col>
      <xdr:colOff>215603</xdr:colOff>
      <xdr:row>32</xdr:row>
      <xdr:rowOff>103430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273872</xdr:colOff>
      <xdr:row>13</xdr:row>
      <xdr:rowOff>56815</xdr:rowOff>
    </xdr:from>
    <xdr:to>
      <xdr:col>13</xdr:col>
      <xdr:colOff>593912</xdr:colOff>
      <xdr:row>32</xdr:row>
      <xdr:rowOff>84157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628761</xdr:colOff>
      <xdr:row>13</xdr:row>
      <xdr:rowOff>68355</xdr:rowOff>
    </xdr:from>
    <xdr:to>
      <xdr:col>19</xdr:col>
      <xdr:colOff>330910</xdr:colOff>
      <xdr:row>32</xdr:row>
      <xdr:rowOff>114860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571500</xdr:colOff>
      <xdr:row>0</xdr:row>
      <xdr:rowOff>0</xdr:rowOff>
    </xdr:from>
    <xdr:to>
      <xdr:col>5</xdr:col>
      <xdr:colOff>295275</xdr:colOff>
      <xdr:row>1</xdr:row>
      <xdr:rowOff>45721</xdr:rowOff>
    </xdr:to>
    <xdr:pic>
      <xdr:nvPicPr>
        <xdr:cNvPr id="7" name="图片 6"/>
        <xdr:cNvPicPr>
          <a:picLocks noChangeAspect="1"/>
        </xdr:cNvPicPr>
      </xdr:nvPicPr>
      <xdr:blipFill rotWithShape="1">
        <a:blip xmlns:r="http://schemas.openxmlformats.org/officeDocument/2006/relationships" r:embed="rId4">
          <a:biLevel thresh="75000"/>
        </a:blip>
        <a:srcRect t="50503"/>
        <a:stretch/>
      </xdr:blipFill>
      <xdr:spPr>
        <a:xfrm>
          <a:off x="571500" y="0"/>
          <a:ext cx="2847975" cy="3124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11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541"/>
  <sheetViews>
    <sheetView workbookViewId="0">
      <selection activeCell="L20" sqref="L20"/>
    </sheetView>
  </sheetViews>
  <sheetFormatPr defaultColWidth="9" defaultRowHeight="12.75"/>
  <cols>
    <col min="1" max="1" width="15" style="18" customWidth="1"/>
    <col min="2" max="2" width="11.42578125" style="18" customWidth="1"/>
    <col min="3" max="3" width="9.28515625" style="19" customWidth="1"/>
    <col min="4" max="4" width="11.28515625" style="18" bestFit="1" customWidth="1"/>
    <col min="5" max="5" width="9.7109375" style="18" bestFit="1" customWidth="1"/>
    <col min="6" max="6" width="11.28515625" style="18" bestFit="1" customWidth="1"/>
    <col min="7" max="7" width="9.7109375" style="18" bestFit="1" customWidth="1"/>
    <col min="8" max="8" width="11.28515625" style="18" bestFit="1" customWidth="1"/>
    <col min="9" max="9" width="9.42578125" style="18" customWidth="1"/>
    <col min="10" max="11" width="14" style="18" customWidth="1"/>
    <col min="12" max="16384" width="9" style="2"/>
  </cols>
  <sheetData>
    <row r="1" spans="1:11" s="136" customFormat="1" ht="50.25" customHeight="1">
      <c r="A1" s="134"/>
      <c r="B1" s="134" t="s">
        <v>105</v>
      </c>
      <c r="C1" s="135" t="s">
        <v>106</v>
      </c>
      <c r="D1" s="134" t="s">
        <v>107</v>
      </c>
      <c r="E1" s="134" t="s">
        <v>108</v>
      </c>
      <c r="F1" s="134" t="s">
        <v>109</v>
      </c>
      <c r="G1" s="134" t="s">
        <v>110</v>
      </c>
      <c r="H1" s="134" t="s">
        <v>111</v>
      </c>
      <c r="I1" s="134" t="s">
        <v>112</v>
      </c>
      <c r="J1" s="134" t="s">
        <v>113</v>
      </c>
      <c r="K1" s="134" t="s">
        <v>114</v>
      </c>
    </row>
    <row r="2" spans="1:11">
      <c r="B2" s="18">
        <v>4</v>
      </c>
      <c r="C2" s="18">
        <v>5148021</v>
      </c>
      <c r="D2" s="19">
        <v>5168169.5</v>
      </c>
      <c r="E2" s="18">
        <v>5152894</v>
      </c>
      <c r="F2" s="18">
        <v>6776458</v>
      </c>
      <c r="G2" s="18">
        <v>6912954.5</v>
      </c>
      <c r="H2" s="18">
        <v>6625351.5</v>
      </c>
      <c r="I2" s="18">
        <v>10.13266658782959</v>
      </c>
      <c r="J2" s="18">
        <v>10.397344589233398</v>
      </c>
      <c r="K2" s="18">
        <v>10.104576110839844</v>
      </c>
    </row>
    <row r="3" spans="1:11">
      <c r="B3" s="18">
        <v>4</v>
      </c>
      <c r="C3" s="18">
        <v>5293248.5</v>
      </c>
      <c r="D3" s="19">
        <v>5360828</v>
      </c>
      <c r="E3" s="18">
        <v>5234985.5</v>
      </c>
      <c r="F3" s="18">
        <v>6995933.5</v>
      </c>
      <c r="G3" s="18">
        <v>7248682.5</v>
      </c>
      <c r="H3" s="18">
        <v>6863562.5</v>
      </c>
      <c r="I3" s="18">
        <v>9.49810791015625</v>
      </c>
      <c r="J3" s="18">
        <v>9.7809553146362305</v>
      </c>
      <c r="K3" s="18">
        <v>9.4429559707641602</v>
      </c>
    </row>
    <row r="4" spans="1:11">
      <c r="B4" s="18">
        <v>4</v>
      </c>
      <c r="C4" s="18">
        <v>5163149.5</v>
      </c>
      <c r="D4" s="19">
        <v>5215428.5</v>
      </c>
      <c r="E4" s="18">
        <v>5214027</v>
      </c>
      <c r="F4" s="18">
        <v>6350251</v>
      </c>
      <c r="G4" s="18">
        <v>6799827.5</v>
      </c>
      <c r="H4" s="18">
        <v>6536412.5</v>
      </c>
      <c r="I4" s="18">
        <v>8.6929702758789063</v>
      </c>
      <c r="J4" s="18">
        <v>8.8851194381713867</v>
      </c>
      <c r="K4" s="18">
        <v>8.4533071517944336</v>
      </c>
    </row>
    <row r="5" spans="1:11">
      <c r="B5" s="18">
        <v>4</v>
      </c>
      <c r="C5" s="18">
        <v>5211290.5</v>
      </c>
      <c r="D5" s="19">
        <v>5231318</v>
      </c>
      <c r="E5" s="18">
        <v>5268997</v>
      </c>
      <c r="F5" s="18">
        <v>6326717</v>
      </c>
      <c r="G5" s="18">
        <v>6475905</v>
      </c>
      <c r="H5" s="18">
        <v>6127572</v>
      </c>
      <c r="I5" s="18">
        <v>9.2141923904418945</v>
      </c>
      <c r="J5" s="18">
        <v>9.5466318130493164</v>
      </c>
      <c r="K5" s="18">
        <v>9.1951808929443359</v>
      </c>
    </row>
    <row r="6" spans="1:11">
      <c r="B6" s="18">
        <v>4</v>
      </c>
      <c r="C6" s="18">
        <v>5200251.5</v>
      </c>
      <c r="D6" s="19">
        <v>5305633</v>
      </c>
      <c r="E6" s="18">
        <v>5231747</v>
      </c>
      <c r="F6" s="18">
        <v>6293756</v>
      </c>
      <c r="G6" s="18">
        <v>6227786</v>
      </c>
      <c r="H6" s="18">
        <v>6117986</v>
      </c>
      <c r="I6" s="18">
        <v>8.5904302597045898</v>
      </c>
      <c r="J6" s="18">
        <v>8.6570510864257813</v>
      </c>
      <c r="K6" s="18">
        <v>8.4240961074829102</v>
      </c>
    </row>
    <row r="7" spans="1:11">
      <c r="B7" s="18">
        <v>4</v>
      </c>
      <c r="C7" s="18">
        <v>5219071.5</v>
      </c>
      <c r="D7" s="19">
        <v>5302471.5</v>
      </c>
      <c r="E7" s="18">
        <v>5253660</v>
      </c>
      <c r="F7" s="18">
        <v>6467370.5</v>
      </c>
      <c r="G7" s="18">
        <v>6785292</v>
      </c>
      <c r="H7" s="18">
        <v>6499213</v>
      </c>
      <c r="I7" s="18">
        <v>9.3897190093994141</v>
      </c>
      <c r="J7" s="18">
        <v>9.659153938293457</v>
      </c>
      <c r="K7" s="18">
        <v>9.163395881652832</v>
      </c>
    </row>
    <row r="8" spans="1:11">
      <c r="B8" s="18">
        <v>4</v>
      </c>
      <c r="C8" s="18">
        <v>5232433</v>
      </c>
      <c r="D8" s="19">
        <v>5293812.5</v>
      </c>
      <c r="E8" s="18">
        <v>5241430.5</v>
      </c>
      <c r="F8" s="18">
        <v>6124576.5</v>
      </c>
      <c r="G8" s="18">
        <v>6418611</v>
      </c>
      <c r="H8" s="18">
        <v>6207171</v>
      </c>
      <c r="I8" s="18">
        <v>8.8789854049682617</v>
      </c>
      <c r="J8" s="18">
        <v>9.2874174118041992</v>
      </c>
      <c r="K8" s="18">
        <v>8.900904655456543</v>
      </c>
    </row>
    <row r="9" spans="1:11">
      <c r="B9" s="18">
        <v>4</v>
      </c>
      <c r="C9" s="18">
        <v>5299628.5</v>
      </c>
      <c r="D9" s="19">
        <v>5288674.5</v>
      </c>
      <c r="E9" s="18">
        <v>5298915.5</v>
      </c>
      <c r="F9" s="18">
        <v>6341143</v>
      </c>
      <c r="G9" s="18">
        <v>6416141.5</v>
      </c>
      <c r="H9" s="18">
        <v>6234340</v>
      </c>
      <c r="I9" s="18">
        <v>8.8856267929077148</v>
      </c>
      <c r="J9" s="18">
        <v>8.9769735336303711</v>
      </c>
      <c r="K9" s="18">
        <v>8.8269033432006836</v>
      </c>
    </row>
    <row r="10" spans="1:11">
      <c r="B10" s="18">
        <v>4</v>
      </c>
      <c r="C10" s="18">
        <v>5208628</v>
      </c>
      <c r="D10" s="19">
        <v>5208148.5</v>
      </c>
      <c r="E10" s="18">
        <v>5217114</v>
      </c>
      <c r="F10" s="18">
        <v>6391788.5</v>
      </c>
      <c r="G10" s="18">
        <v>6573080.5</v>
      </c>
      <c r="H10" s="18">
        <v>6182012.5</v>
      </c>
      <c r="I10" s="18">
        <v>9.1627388000488281</v>
      </c>
      <c r="J10" s="18">
        <v>9.2124910354614258</v>
      </c>
      <c r="K10" s="18">
        <v>9.0164937973022461</v>
      </c>
    </row>
    <row r="11" spans="1:11">
      <c r="B11" s="18">
        <v>4</v>
      </c>
      <c r="C11" s="18">
        <v>5182774</v>
      </c>
      <c r="D11" s="19">
        <v>5226747.5</v>
      </c>
      <c r="E11" s="18">
        <v>5207403.5</v>
      </c>
      <c r="F11" s="18">
        <v>6161694.5</v>
      </c>
      <c r="G11" s="18">
        <v>6282997.5</v>
      </c>
      <c r="H11" s="18">
        <v>6078810</v>
      </c>
      <c r="I11" s="18">
        <v>8.3134899139404297</v>
      </c>
      <c r="J11" s="18">
        <v>8.4873847961425781</v>
      </c>
      <c r="K11" s="18">
        <v>8.1543245315551758</v>
      </c>
    </row>
    <row r="12" spans="1:11">
      <c r="B12" s="18">
        <v>4</v>
      </c>
      <c r="C12" s="18">
        <v>5151715</v>
      </c>
      <c r="D12" s="19">
        <v>5145901.5</v>
      </c>
      <c r="E12" s="18">
        <v>5154018</v>
      </c>
      <c r="F12" s="18">
        <v>5624713.5</v>
      </c>
      <c r="G12" s="18">
        <v>5622695</v>
      </c>
      <c r="H12" s="18">
        <v>5259953.5</v>
      </c>
      <c r="I12" s="18">
        <v>8.118596076965332</v>
      </c>
      <c r="J12" s="18">
        <v>8.4983530044555664</v>
      </c>
      <c r="K12" s="18">
        <v>8.0324268341064453</v>
      </c>
    </row>
    <row r="13" spans="1:11">
      <c r="B13" s="18">
        <v>4</v>
      </c>
      <c r="C13" s="18">
        <v>5328442</v>
      </c>
      <c r="D13" s="19">
        <v>5384067.5</v>
      </c>
      <c r="E13" s="18">
        <v>5369507</v>
      </c>
      <c r="F13" s="18">
        <v>6502971.5</v>
      </c>
      <c r="G13" s="18">
        <v>6676381.5</v>
      </c>
      <c r="H13" s="18">
        <v>6496454</v>
      </c>
      <c r="I13" s="18">
        <v>9.8925008773803711</v>
      </c>
      <c r="J13" s="18">
        <v>10.040622711181641</v>
      </c>
      <c r="K13" s="18">
        <v>9.7180728912353516</v>
      </c>
    </row>
    <row r="14" spans="1:11">
      <c r="B14" s="18">
        <v>4</v>
      </c>
      <c r="C14" s="18">
        <v>5190919.5</v>
      </c>
      <c r="D14" s="19">
        <v>5167845</v>
      </c>
      <c r="E14" s="18">
        <v>5201621.5</v>
      </c>
      <c r="F14" s="18">
        <v>5993624</v>
      </c>
      <c r="G14" s="18">
        <v>5946263.5</v>
      </c>
      <c r="H14" s="18">
        <v>5892073</v>
      </c>
      <c r="I14" s="18">
        <v>8.7504596710205078</v>
      </c>
      <c r="J14" s="18">
        <v>8.7215213775634766</v>
      </c>
      <c r="K14" s="18">
        <v>8.6829929351806641</v>
      </c>
    </row>
    <row r="15" spans="1:11">
      <c r="B15" s="18">
        <v>4</v>
      </c>
      <c r="C15" s="18">
        <v>5333310</v>
      </c>
      <c r="D15" s="19">
        <v>5310435.5</v>
      </c>
      <c r="E15" s="18">
        <v>5283693</v>
      </c>
      <c r="F15" s="18">
        <v>6681119.5</v>
      </c>
      <c r="G15" s="18">
        <v>6881269</v>
      </c>
      <c r="H15" s="18">
        <v>6567690.5</v>
      </c>
      <c r="I15" s="18">
        <v>9.3950958251953125</v>
      </c>
      <c r="J15" s="18">
        <v>9.5840730667114258</v>
      </c>
      <c r="K15" s="18">
        <v>9.2701272964477539</v>
      </c>
    </row>
    <row r="16" spans="1:11">
      <c r="B16" s="18">
        <v>4</v>
      </c>
      <c r="C16" s="18">
        <v>5186723.5</v>
      </c>
      <c r="D16" s="19">
        <v>5202492</v>
      </c>
      <c r="E16" s="18">
        <v>5158286</v>
      </c>
      <c r="F16" s="18">
        <v>5841187</v>
      </c>
      <c r="G16" s="18">
        <v>5885565.5</v>
      </c>
      <c r="H16" s="18">
        <v>5614550</v>
      </c>
      <c r="I16" s="18">
        <v>8.3450326919555664</v>
      </c>
      <c r="J16" s="18">
        <v>8.4331321716308594</v>
      </c>
      <c r="K16" s="18">
        <v>8.2122917175292969</v>
      </c>
    </row>
    <row r="17" spans="2:11">
      <c r="B17" s="18">
        <v>6</v>
      </c>
      <c r="C17" s="18">
        <v>5964778</v>
      </c>
      <c r="D17" s="19">
        <v>6025549</v>
      </c>
      <c r="E17" s="18">
        <v>6055673.5</v>
      </c>
      <c r="F17" s="18">
        <v>10779382</v>
      </c>
      <c r="G17" s="18">
        <v>10982111</v>
      </c>
      <c r="H17" s="18">
        <v>10456280</v>
      </c>
      <c r="I17" s="18">
        <v>14.735055923461914</v>
      </c>
      <c r="J17" s="18">
        <v>14.587154388427734</v>
      </c>
      <c r="K17" s="18">
        <v>14.270492553710938</v>
      </c>
    </row>
    <row r="18" spans="2:11">
      <c r="B18" s="18">
        <v>6</v>
      </c>
      <c r="C18" s="18">
        <v>5908183.5</v>
      </c>
      <c r="D18" s="19">
        <v>5878594</v>
      </c>
      <c r="E18" s="18">
        <v>5864443</v>
      </c>
      <c r="F18" s="18">
        <v>11536626</v>
      </c>
      <c r="G18" s="18">
        <v>11828442</v>
      </c>
      <c r="H18" s="18">
        <v>11347990</v>
      </c>
      <c r="I18" s="18">
        <v>15.720314025878906</v>
      </c>
      <c r="J18" s="18">
        <v>15.875893592834473</v>
      </c>
      <c r="K18" s="18">
        <v>15.058197975158691</v>
      </c>
    </row>
    <row r="19" spans="2:11">
      <c r="B19" s="18">
        <v>6</v>
      </c>
      <c r="C19" s="18">
        <v>5656194</v>
      </c>
      <c r="D19" s="19">
        <v>5705965</v>
      </c>
      <c r="E19" s="18">
        <v>5647585</v>
      </c>
      <c r="F19" s="18">
        <v>11464654</v>
      </c>
      <c r="G19" s="18">
        <v>11556199</v>
      </c>
      <c r="H19" s="18">
        <v>11251607</v>
      </c>
      <c r="I19" s="18">
        <v>15.541221618652344</v>
      </c>
      <c r="J19" s="18">
        <v>15.788023948669434</v>
      </c>
      <c r="K19" s="18">
        <v>15.13839054107666</v>
      </c>
    </row>
    <row r="20" spans="2:11">
      <c r="B20" s="18">
        <v>6</v>
      </c>
      <c r="C20" s="18">
        <v>5749564</v>
      </c>
      <c r="D20" s="19">
        <v>5737294.5</v>
      </c>
      <c r="E20" s="18">
        <v>5733333</v>
      </c>
      <c r="F20" s="18">
        <v>11427902</v>
      </c>
      <c r="G20" s="18">
        <v>11868808</v>
      </c>
      <c r="H20" s="18">
        <v>10983951</v>
      </c>
      <c r="I20" s="18">
        <v>14.513474464416504</v>
      </c>
      <c r="J20" s="18">
        <v>14.677615165710449</v>
      </c>
      <c r="K20" s="18">
        <v>14.14708137512207</v>
      </c>
    </row>
    <row r="21" spans="2:11">
      <c r="B21" s="18">
        <v>6</v>
      </c>
      <c r="C21" s="18">
        <v>5932760.5</v>
      </c>
      <c r="D21" s="19">
        <v>5725008.5</v>
      </c>
      <c r="E21" s="18">
        <v>5815284.5</v>
      </c>
      <c r="F21" s="18">
        <v>10647837</v>
      </c>
      <c r="G21" s="18">
        <v>10758317</v>
      </c>
      <c r="H21" s="18">
        <v>10564748</v>
      </c>
      <c r="I21" s="18">
        <v>14.638068199157715</v>
      </c>
      <c r="J21" s="18">
        <v>14.844813346862793</v>
      </c>
      <c r="K21" s="18">
        <v>14.287522315979004</v>
      </c>
    </row>
    <row r="22" spans="2:11">
      <c r="B22" s="18">
        <v>6</v>
      </c>
      <c r="C22" s="18">
        <v>5963860.5</v>
      </c>
      <c r="D22" s="19">
        <v>5901067.5</v>
      </c>
      <c r="E22" s="18">
        <v>5849397</v>
      </c>
      <c r="F22" s="18">
        <v>12025763</v>
      </c>
      <c r="G22" s="18">
        <v>11937604</v>
      </c>
      <c r="H22" s="18">
        <v>11784164</v>
      </c>
      <c r="I22" s="18">
        <v>15.529264450073242</v>
      </c>
      <c r="J22" s="18">
        <v>15.899559020996094</v>
      </c>
      <c r="K22" s="18">
        <v>15.26167106628418</v>
      </c>
    </row>
    <row r="23" spans="2:11">
      <c r="B23" s="18">
        <v>6</v>
      </c>
      <c r="C23" s="18">
        <v>5832658</v>
      </c>
      <c r="D23" s="19">
        <v>5723631</v>
      </c>
      <c r="E23" s="18">
        <v>5751368</v>
      </c>
      <c r="F23" s="18">
        <v>10844448</v>
      </c>
      <c r="G23" s="18">
        <v>11121617</v>
      </c>
      <c r="H23" s="18">
        <v>10555385</v>
      </c>
      <c r="I23" s="18">
        <v>14.500224113464355</v>
      </c>
      <c r="J23" s="18">
        <v>14.706531524658203</v>
      </c>
      <c r="K23" s="18">
        <v>14.077858924865723</v>
      </c>
    </row>
    <row r="24" spans="2:11">
      <c r="B24" s="18">
        <v>6</v>
      </c>
      <c r="C24" s="18">
        <v>5735081.5</v>
      </c>
      <c r="D24" s="19">
        <v>5755551</v>
      </c>
      <c r="E24" s="18">
        <v>5734867.5</v>
      </c>
      <c r="F24" s="18">
        <v>12090889</v>
      </c>
      <c r="G24" s="18">
        <v>12055542</v>
      </c>
      <c r="H24" s="18">
        <v>11497054</v>
      </c>
      <c r="I24" s="18">
        <v>16.211627960205078</v>
      </c>
      <c r="J24" s="18">
        <v>16.287277221679688</v>
      </c>
      <c r="K24" s="18">
        <v>15.52842903137207</v>
      </c>
    </row>
    <row r="25" spans="2:11">
      <c r="B25" s="18">
        <v>6</v>
      </c>
      <c r="C25" s="18">
        <v>5708964</v>
      </c>
      <c r="D25" s="19">
        <v>5732974</v>
      </c>
      <c r="E25" s="18">
        <v>5689514</v>
      </c>
      <c r="F25" s="18">
        <v>10926510</v>
      </c>
      <c r="G25" s="18">
        <v>11068517</v>
      </c>
      <c r="H25" s="18">
        <v>11012078</v>
      </c>
      <c r="I25" s="18">
        <v>14.79573917388916</v>
      </c>
      <c r="J25" s="18">
        <v>15.088603019714355</v>
      </c>
      <c r="K25" s="18">
        <v>14.436348915100098</v>
      </c>
    </row>
    <row r="26" spans="2:11">
      <c r="B26" s="18">
        <v>6</v>
      </c>
      <c r="C26" s="18">
        <v>5680375.5</v>
      </c>
      <c r="D26" s="19">
        <v>5640462</v>
      </c>
      <c r="E26" s="18">
        <v>5588568</v>
      </c>
      <c r="F26" s="18">
        <v>10946605</v>
      </c>
      <c r="G26" s="18">
        <v>11032638</v>
      </c>
      <c r="H26" s="18">
        <v>10731661</v>
      </c>
      <c r="I26" s="18">
        <v>14.212135314941406</v>
      </c>
      <c r="J26" s="18">
        <v>14.755152702331543</v>
      </c>
      <c r="K26" s="18">
        <v>14.272975921630859</v>
      </c>
    </row>
    <row r="27" spans="2:11">
      <c r="B27" s="18">
        <v>6</v>
      </c>
      <c r="C27" s="18">
        <v>6224232.5</v>
      </c>
      <c r="D27" s="19">
        <v>6136523.5</v>
      </c>
      <c r="E27" s="18">
        <v>6114215.5</v>
      </c>
      <c r="F27" s="18">
        <v>12327271</v>
      </c>
      <c r="G27" s="18">
        <v>12301928</v>
      </c>
      <c r="H27" s="18">
        <v>11952029</v>
      </c>
      <c r="I27" s="18">
        <v>15.960558891296387</v>
      </c>
      <c r="J27" s="18">
        <v>16.133171081542969</v>
      </c>
      <c r="K27" s="18">
        <v>15.588826179504395</v>
      </c>
    </row>
    <row r="28" spans="2:11">
      <c r="B28" s="18">
        <v>6</v>
      </c>
      <c r="C28" s="18">
        <v>5899928</v>
      </c>
      <c r="D28" s="19">
        <v>5881310</v>
      </c>
      <c r="E28" s="18">
        <v>5747431</v>
      </c>
      <c r="F28" s="18">
        <v>10957842</v>
      </c>
      <c r="G28" s="18">
        <v>11274840</v>
      </c>
      <c r="H28" s="18">
        <v>10914780</v>
      </c>
      <c r="I28" s="18">
        <v>14.457760810852051</v>
      </c>
      <c r="J28" s="18">
        <v>14.913819313049316</v>
      </c>
      <c r="K28" s="18">
        <v>14.347995758056641</v>
      </c>
    </row>
    <row r="29" spans="2:11">
      <c r="B29" s="18">
        <v>6</v>
      </c>
      <c r="C29" s="18">
        <v>5978150</v>
      </c>
      <c r="D29" s="19">
        <v>5914260.5</v>
      </c>
      <c r="E29" s="18">
        <v>5893952</v>
      </c>
      <c r="F29" s="18">
        <v>11579456</v>
      </c>
      <c r="G29" s="18">
        <v>11537812</v>
      </c>
      <c r="H29" s="18">
        <v>11162946</v>
      </c>
      <c r="I29" s="18">
        <v>15.669275283813477</v>
      </c>
      <c r="J29" s="18">
        <v>15.849233627319336</v>
      </c>
      <c r="K29" s="18">
        <v>15.26494026184082</v>
      </c>
    </row>
    <row r="30" spans="2:11">
      <c r="B30" s="18">
        <v>6</v>
      </c>
      <c r="C30" s="18">
        <v>6392081.5</v>
      </c>
      <c r="D30" s="19">
        <v>6287421.5</v>
      </c>
      <c r="E30" s="18">
        <v>6244800.5</v>
      </c>
      <c r="F30" s="18">
        <v>11904789</v>
      </c>
      <c r="G30" s="18">
        <v>12027980</v>
      </c>
      <c r="H30" s="18">
        <v>11620499</v>
      </c>
      <c r="I30" s="18">
        <v>15.603409767150879</v>
      </c>
      <c r="J30" s="18">
        <v>15.805816650390625</v>
      </c>
      <c r="K30" s="18">
        <v>15.41615104675293</v>
      </c>
    </row>
    <row r="31" spans="2:11">
      <c r="B31" s="18">
        <v>6</v>
      </c>
      <c r="C31" s="18">
        <v>5929360.5</v>
      </c>
      <c r="D31" s="19">
        <v>5935305</v>
      </c>
      <c r="E31" s="18">
        <v>5896057</v>
      </c>
      <c r="F31" s="18">
        <v>11206759</v>
      </c>
      <c r="G31" s="18">
        <v>11471838</v>
      </c>
      <c r="H31" s="18">
        <v>10907376</v>
      </c>
      <c r="I31" s="18">
        <v>15.289909362792969</v>
      </c>
      <c r="J31" s="18">
        <v>15.639986991882324</v>
      </c>
      <c r="K31" s="18">
        <v>14.897867202758789</v>
      </c>
    </row>
    <row r="32" spans="2:11">
      <c r="B32" s="18">
        <v>8</v>
      </c>
      <c r="C32" s="18">
        <v>6765747</v>
      </c>
      <c r="D32" s="19">
        <v>6948151</v>
      </c>
      <c r="E32" s="18">
        <v>6770133</v>
      </c>
      <c r="F32" s="18">
        <v>12911669</v>
      </c>
      <c r="G32" s="18">
        <v>13393593</v>
      </c>
      <c r="H32" s="18">
        <v>12592893</v>
      </c>
      <c r="I32" s="18">
        <v>16.795980453491211</v>
      </c>
      <c r="J32" s="18">
        <v>17.209516525268555</v>
      </c>
      <c r="K32" s="18">
        <v>16.570354461669922</v>
      </c>
    </row>
    <row r="33" spans="2:11">
      <c r="B33" s="18">
        <v>8</v>
      </c>
      <c r="C33" s="18">
        <v>6852937</v>
      </c>
      <c r="D33" s="19">
        <v>6811229.5</v>
      </c>
      <c r="E33" s="18">
        <v>6789290.5</v>
      </c>
      <c r="F33" s="18">
        <v>13485320</v>
      </c>
      <c r="G33" s="18">
        <v>13468225</v>
      </c>
      <c r="H33" s="18">
        <v>13152286</v>
      </c>
      <c r="I33" s="18">
        <v>16.826683044433594</v>
      </c>
      <c r="J33" s="18">
        <v>17.231103897094727</v>
      </c>
      <c r="K33" s="18">
        <v>16.516109466552734</v>
      </c>
    </row>
    <row r="34" spans="2:11">
      <c r="B34" s="18">
        <v>8</v>
      </c>
      <c r="C34" s="18">
        <v>6960285.5</v>
      </c>
      <c r="D34" s="19">
        <v>6935755.5</v>
      </c>
      <c r="E34" s="18">
        <v>6706605.5</v>
      </c>
      <c r="F34" s="18">
        <v>13333507</v>
      </c>
      <c r="G34" s="18">
        <v>13917136</v>
      </c>
      <c r="H34" s="18">
        <v>13068807</v>
      </c>
      <c r="I34" s="18">
        <v>17.018356323242188</v>
      </c>
      <c r="J34" s="18">
        <v>17.171098709106445</v>
      </c>
      <c r="K34" s="18">
        <v>16.523279190063477</v>
      </c>
    </row>
    <row r="35" spans="2:11">
      <c r="B35" s="18">
        <v>8</v>
      </c>
      <c r="C35" s="18">
        <v>6618738.5</v>
      </c>
      <c r="D35" s="19">
        <v>6687151.5</v>
      </c>
      <c r="E35" s="18">
        <v>6822808</v>
      </c>
      <c r="F35" s="18">
        <v>13834749</v>
      </c>
      <c r="G35" s="18">
        <v>13791257</v>
      </c>
      <c r="H35" s="18">
        <v>13374994</v>
      </c>
      <c r="I35" s="18">
        <v>17.497650146484375</v>
      </c>
      <c r="J35" s="18">
        <v>17.550369262695313</v>
      </c>
      <c r="K35" s="18">
        <v>16.613073348999023</v>
      </c>
    </row>
    <row r="36" spans="2:11">
      <c r="B36" s="18">
        <v>8</v>
      </c>
      <c r="C36" s="18">
        <v>7289489.5</v>
      </c>
      <c r="D36" s="19">
        <v>7131497.5</v>
      </c>
      <c r="E36" s="18">
        <v>7081803</v>
      </c>
      <c r="F36" s="18">
        <v>13041209</v>
      </c>
      <c r="G36" s="18">
        <v>13544449</v>
      </c>
      <c r="H36" s="18">
        <v>12965138</v>
      </c>
      <c r="I36" s="18">
        <v>17.929155349731445</v>
      </c>
      <c r="J36" s="18">
        <v>17.775800704956055</v>
      </c>
      <c r="K36" s="18">
        <v>16.967899322509766</v>
      </c>
    </row>
    <row r="37" spans="2:11">
      <c r="B37" s="18">
        <v>8</v>
      </c>
      <c r="C37" s="18">
        <v>6584654</v>
      </c>
      <c r="D37" s="19">
        <v>6679547</v>
      </c>
      <c r="E37" s="18">
        <v>6500764</v>
      </c>
      <c r="F37" s="18">
        <v>12474772</v>
      </c>
      <c r="G37" s="18">
        <v>12632486</v>
      </c>
      <c r="H37" s="18">
        <v>12231880</v>
      </c>
      <c r="I37" s="18">
        <v>16.546628952026367</v>
      </c>
      <c r="J37" s="18">
        <v>16.887750625610352</v>
      </c>
      <c r="K37" s="18">
        <v>16.432636260986328</v>
      </c>
    </row>
    <row r="38" spans="2:11">
      <c r="B38" s="18">
        <v>8</v>
      </c>
      <c r="C38" s="18">
        <v>7099245.5</v>
      </c>
      <c r="D38" s="19">
        <v>7111713.5</v>
      </c>
      <c r="E38" s="18">
        <v>7011304</v>
      </c>
      <c r="F38" s="18">
        <v>13223687</v>
      </c>
      <c r="G38" s="18">
        <v>13330159</v>
      </c>
      <c r="H38" s="18">
        <v>12880206</v>
      </c>
      <c r="I38" s="18">
        <v>17.32185173034668</v>
      </c>
      <c r="J38" s="18">
        <v>17.618532180786133</v>
      </c>
      <c r="K38" s="18">
        <v>16.666236877441406</v>
      </c>
    </row>
    <row r="39" spans="2:11">
      <c r="B39" s="18">
        <v>8</v>
      </c>
      <c r="C39" s="18">
        <v>6756739</v>
      </c>
      <c r="D39" s="19">
        <v>6881485</v>
      </c>
      <c r="E39" s="18">
        <v>6783466.5</v>
      </c>
      <c r="F39" s="18">
        <v>12943642</v>
      </c>
      <c r="G39" s="18">
        <v>13164429</v>
      </c>
      <c r="H39" s="18">
        <v>12644345</v>
      </c>
      <c r="I39" s="18">
        <v>16.688657760620117</v>
      </c>
      <c r="J39" s="18">
        <v>17.293672561645508</v>
      </c>
      <c r="K39" s="18">
        <v>16.257253646850586</v>
      </c>
    </row>
    <row r="40" spans="2:11">
      <c r="B40" s="18">
        <v>8</v>
      </c>
      <c r="C40" s="18">
        <v>6726613.5</v>
      </c>
      <c r="D40" s="19">
        <v>7030728</v>
      </c>
      <c r="E40" s="18">
        <v>6833779.5</v>
      </c>
      <c r="F40" s="18">
        <v>12697648</v>
      </c>
      <c r="G40" s="18">
        <v>13040893</v>
      </c>
      <c r="H40" s="18">
        <v>12777743</v>
      </c>
      <c r="I40" s="18">
        <v>16.66180419921875</v>
      </c>
      <c r="J40" s="18">
        <v>16.813093185424805</v>
      </c>
      <c r="K40" s="18">
        <v>15.871310234069824</v>
      </c>
    </row>
    <row r="41" spans="2:11">
      <c r="B41" s="18">
        <v>8</v>
      </c>
      <c r="C41" s="18">
        <v>6525931.5</v>
      </c>
      <c r="D41" s="19">
        <v>6414530.5</v>
      </c>
      <c r="E41" s="18">
        <v>6415430.5</v>
      </c>
      <c r="F41" s="18">
        <v>12824475</v>
      </c>
      <c r="G41" s="18">
        <v>12770480</v>
      </c>
      <c r="H41" s="18">
        <v>12221491</v>
      </c>
      <c r="I41" s="18">
        <v>16.800533294677734</v>
      </c>
      <c r="J41" s="18">
        <v>16.855258941650391</v>
      </c>
      <c r="K41" s="18">
        <v>16.23876953125</v>
      </c>
    </row>
    <row r="42" spans="2:11">
      <c r="B42" s="18">
        <v>8</v>
      </c>
      <c r="C42" s="18">
        <v>6729539</v>
      </c>
      <c r="D42" s="19">
        <v>6830899</v>
      </c>
      <c r="E42" s="18">
        <v>6677959</v>
      </c>
      <c r="F42" s="18">
        <v>12957697</v>
      </c>
      <c r="G42" s="18">
        <v>12981616</v>
      </c>
      <c r="H42" s="18">
        <v>13005915</v>
      </c>
      <c r="I42" s="18">
        <v>16.307687759399414</v>
      </c>
      <c r="J42" s="18">
        <v>16.507879257202148</v>
      </c>
      <c r="K42" s="18">
        <v>15.749452590942383</v>
      </c>
    </row>
    <row r="43" spans="2:11">
      <c r="B43" s="18">
        <v>8</v>
      </c>
      <c r="C43" s="18">
        <v>6536962.5</v>
      </c>
      <c r="D43" s="19">
        <v>6591385.5</v>
      </c>
      <c r="E43" s="18">
        <v>6591618.5</v>
      </c>
      <c r="F43" s="18">
        <v>13717191</v>
      </c>
      <c r="G43" s="18">
        <v>13660732</v>
      </c>
      <c r="H43" s="18">
        <v>12667750</v>
      </c>
      <c r="I43" s="18">
        <v>16.999238967895508</v>
      </c>
      <c r="J43" s="18">
        <v>17.309846878051758</v>
      </c>
      <c r="K43" s="18">
        <v>16.847272872924805</v>
      </c>
    </row>
    <row r="44" spans="2:11">
      <c r="B44" s="18">
        <v>8</v>
      </c>
      <c r="C44" s="18">
        <v>6684458</v>
      </c>
      <c r="D44" s="19">
        <v>6651532</v>
      </c>
      <c r="E44" s="18">
        <v>6580510</v>
      </c>
      <c r="F44" s="18">
        <v>13409672</v>
      </c>
      <c r="G44" s="18">
        <v>14240563</v>
      </c>
      <c r="H44" s="18">
        <v>13678075</v>
      </c>
      <c r="I44" s="18">
        <v>17.485317230224609</v>
      </c>
      <c r="J44" s="18">
        <v>18.453567504882813</v>
      </c>
      <c r="K44" s="18">
        <v>17.839265823364258</v>
      </c>
    </row>
    <row r="45" spans="2:11">
      <c r="B45" s="18">
        <v>8</v>
      </c>
      <c r="C45" s="18">
        <v>6655747</v>
      </c>
      <c r="D45" s="19">
        <v>6627460.5</v>
      </c>
      <c r="E45" s="18">
        <v>6658931.5</v>
      </c>
      <c r="F45" s="18">
        <v>12683130</v>
      </c>
      <c r="G45" s="18">
        <v>13190309</v>
      </c>
      <c r="H45" s="18">
        <v>13115213</v>
      </c>
      <c r="I45" s="18">
        <v>16.637102127075195</v>
      </c>
      <c r="J45" s="18">
        <v>17.227210998535156</v>
      </c>
      <c r="K45" s="18">
        <v>16.826141357421875</v>
      </c>
    </row>
    <row r="46" spans="2:11">
      <c r="B46" s="18">
        <v>8</v>
      </c>
      <c r="C46" s="18">
        <v>6821078.5</v>
      </c>
      <c r="D46" s="19">
        <v>6891829</v>
      </c>
      <c r="E46" s="18">
        <v>6844748</v>
      </c>
      <c r="F46" s="18">
        <v>13436645</v>
      </c>
      <c r="G46" s="18">
        <v>13006786</v>
      </c>
      <c r="H46" s="18">
        <v>13414747</v>
      </c>
      <c r="I46" s="18">
        <v>16.983234405517578</v>
      </c>
      <c r="J46" s="18">
        <v>17.266748428344727</v>
      </c>
      <c r="K46" s="18">
        <v>16.634578704833984</v>
      </c>
    </row>
    <row r="47" spans="2:11">
      <c r="B47" s="18">
        <v>8</v>
      </c>
      <c r="C47" s="18">
        <v>6636926</v>
      </c>
      <c r="D47" s="19">
        <v>6844067</v>
      </c>
      <c r="E47" s="18">
        <v>6642921</v>
      </c>
      <c r="F47" s="18">
        <v>13358631</v>
      </c>
      <c r="G47" s="18">
        <v>13636172</v>
      </c>
      <c r="H47" s="18">
        <v>13107722</v>
      </c>
      <c r="I47" s="18">
        <v>17.339290618896484</v>
      </c>
      <c r="J47" s="18">
        <v>17.384624481201172</v>
      </c>
      <c r="K47" s="18">
        <v>16.878271102905273</v>
      </c>
    </row>
    <row r="48" spans="2:11">
      <c r="B48" s="18">
        <v>8</v>
      </c>
      <c r="C48" s="18">
        <v>6728508</v>
      </c>
      <c r="D48" s="19">
        <v>6612431.5</v>
      </c>
      <c r="E48" s="18">
        <v>6544554</v>
      </c>
      <c r="F48" s="18">
        <v>13241356</v>
      </c>
      <c r="G48" s="18">
        <v>13395777</v>
      </c>
      <c r="H48" s="18">
        <v>12569014</v>
      </c>
      <c r="I48" s="18">
        <v>17.075017929077148</v>
      </c>
      <c r="J48" s="18">
        <v>17.289085388183594</v>
      </c>
      <c r="K48" s="18">
        <v>16.678321838378906</v>
      </c>
    </row>
    <row r="49" spans="2:11">
      <c r="B49" s="18">
        <v>8</v>
      </c>
      <c r="C49" s="18">
        <v>6789698</v>
      </c>
      <c r="D49" s="19">
        <v>6905235.5</v>
      </c>
      <c r="E49" s="18">
        <v>6651212</v>
      </c>
      <c r="F49" s="18">
        <v>12323351</v>
      </c>
      <c r="G49" s="18">
        <v>12536770</v>
      </c>
      <c r="H49" s="18">
        <v>12065600</v>
      </c>
      <c r="I49" s="18">
        <v>16.254665374755859</v>
      </c>
      <c r="J49" s="18">
        <v>16.278940200805664</v>
      </c>
      <c r="K49" s="18">
        <v>15.773459434509277</v>
      </c>
    </row>
    <row r="50" spans="2:11">
      <c r="B50" s="18">
        <v>8</v>
      </c>
      <c r="C50" s="18">
        <v>6872880.5</v>
      </c>
      <c r="D50" s="19">
        <v>6895273.5</v>
      </c>
      <c r="E50" s="18">
        <v>6933227.5</v>
      </c>
      <c r="F50" s="18">
        <v>13607353</v>
      </c>
      <c r="G50" s="18">
        <v>13286688</v>
      </c>
      <c r="H50" s="18">
        <v>13403633</v>
      </c>
      <c r="I50" s="18">
        <v>17.827301025390625</v>
      </c>
      <c r="J50" s="18">
        <v>18.024124145507813</v>
      </c>
      <c r="K50" s="18">
        <v>17.181215286254883</v>
      </c>
    </row>
    <row r="51" spans="2:11">
      <c r="B51" s="18">
        <v>8</v>
      </c>
      <c r="C51" s="18">
        <v>6878804</v>
      </c>
      <c r="D51" s="19">
        <v>6751913</v>
      </c>
      <c r="E51" s="18">
        <v>6767340.5</v>
      </c>
      <c r="F51" s="18">
        <v>13018595</v>
      </c>
      <c r="G51" s="18">
        <v>13511562</v>
      </c>
      <c r="H51" s="18">
        <v>12987483</v>
      </c>
      <c r="I51" s="18">
        <v>17.311626434326172</v>
      </c>
      <c r="J51" s="18">
        <v>17.434244155883789</v>
      </c>
      <c r="K51" s="18">
        <v>17.134078979492188</v>
      </c>
    </row>
    <row r="52" spans="2:11">
      <c r="B52" s="18">
        <v>8</v>
      </c>
      <c r="C52" s="18">
        <v>6986589</v>
      </c>
      <c r="D52" s="19">
        <v>6989969.5</v>
      </c>
      <c r="E52" s="18">
        <v>6993747</v>
      </c>
      <c r="F52" s="18">
        <v>13543278</v>
      </c>
      <c r="G52" s="18">
        <v>13444187</v>
      </c>
      <c r="H52" s="18">
        <v>12962491</v>
      </c>
      <c r="I52" s="18">
        <v>17.199417114257813</v>
      </c>
      <c r="J52" s="18">
        <v>17.326198577880859</v>
      </c>
      <c r="K52" s="18">
        <v>16.843128204345703</v>
      </c>
    </row>
    <row r="53" spans="2:11">
      <c r="B53" s="18">
        <v>8</v>
      </c>
      <c r="C53" s="18">
        <v>6834669.5</v>
      </c>
      <c r="D53" s="19">
        <v>6893562</v>
      </c>
      <c r="E53" s="18">
        <v>6913161</v>
      </c>
      <c r="F53" s="18">
        <v>12944539</v>
      </c>
      <c r="G53" s="18">
        <v>13376409</v>
      </c>
      <c r="H53" s="18">
        <v>12587001</v>
      </c>
      <c r="I53" s="18">
        <v>16.887971878051758</v>
      </c>
      <c r="J53" s="18">
        <v>17.141244888305664</v>
      </c>
      <c r="K53" s="18">
        <v>16.170347213745117</v>
      </c>
    </row>
    <row r="54" spans="2:11">
      <c r="B54" s="18">
        <v>8</v>
      </c>
      <c r="C54" s="18">
        <v>6827119</v>
      </c>
      <c r="D54" s="19">
        <v>6832702</v>
      </c>
      <c r="E54" s="18">
        <v>6762297.5</v>
      </c>
      <c r="F54" s="18">
        <v>12982919</v>
      </c>
      <c r="G54" s="18">
        <v>13147837</v>
      </c>
      <c r="H54" s="18">
        <v>12761020</v>
      </c>
      <c r="I54" s="18">
        <v>17.075971603393555</v>
      </c>
      <c r="J54" s="18">
        <v>17.513036727905273</v>
      </c>
      <c r="K54" s="18">
        <v>16.890476226806641</v>
      </c>
    </row>
    <row r="55" spans="2:11">
      <c r="B55" s="18">
        <v>8</v>
      </c>
      <c r="C55" s="18">
        <v>6607312</v>
      </c>
      <c r="D55" s="19">
        <v>6699485</v>
      </c>
      <c r="E55" s="18">
        <v>6564893</v>
      </c>
      <c r="F55" s="18">
        <v>12585764</v>
      </c>
      <c r="G55" s="18">
        <v>12748821</v>
      </c>
      <c r="H55" s="18">
        <v>12398831</v>
      </c>
      <c r="I55" s="18">
        <v>16.549827575683594</v>
      </c>
      <c r="J55" s="18">
        <v>16.7857666015625</v>
      </c>
      <c r="K55" s="18">
        <v>16.148191452026367</v>
      </c>
    </row>
    <row r="56" spans="2:11">
      <c r="B56" s="18">
        <v>8</v>
      </c>
      <c r="C56" s="18">
        <v>6832728</v>
      </c>
      <c r="D56" s="19">
        <v>6965953</v>
      </c>
      <c r="E56" s="18">
        <v>6951132.5</v>
      </c>
      <c r="F56" s="18">
        <v>13152103</v>
      </c>
      <c r="G56" s="18">
        <v>13404644</v>
      </c>
      <c r="H56" s="18">
        <v>13043503</v>
      </c>
      <c r="I56" s="18">
        <v>17.215265274047852</v>
      </c>
      <c r="J56" s="18">
        <v>17.950204849243164</v>
      </c>
      <c r="K56" s="18">
        <v>17.148336410522461</v>
      </c>
    </row>
    <row r="57" spans="2:11">
      <c r="B57" s="18">
        <v>8</v>
      </c>
      <c r="C57" s="18">
        <v>6766889</v>
      </c>
      <c r="D57" s="19">
        <v>6747090.5</v>
      </c>
      <c r="E57" s="18">
        <v>6965757</v>
      </c>
      <c r="F57" s="18">
        <v>13027837</v>
      </c>
      <c r="G57" s="18">
        <v>13328330</v>
      </c>
      <c r="H57" s="18">
        <v>12701155</v>
      </c>
      <c r="I57" s="18">
        <v>16.732030868530273</v>
      </c>
      <c r="J57" s="18">
        <v>17.184160232543945</v>
      </c>
      <c r="K57" s="18">
        <v>16.222949981689453</v>
      </c>
    </row>
    <row r="58" spans="2:11">
      <c r="B58" s="18">
        <v>8</v>
      </c>
      <c r="C58" s="18">
        <v>6777014</v>
      </c>
      <c r="D58" s="19">
        <v>6611973.5</v>
      </c>
      <c r="E58" s="18">
        <v>6738365.5</v>
      </c>
      <c r="F58" s="18">
        <v>13131382</v>
      </c>
      <c r="G58" s="18">
        <v>13500161</v>
      </c>
      <c r="H58" s="18">
        <v>13266990</v>
      </c>
      <c r="I58" s="18">
        <v>16.919126510620117</v>
      </c>
      <c r="J58" s="18">
        <v>17.573818206787109</v>
      </c>
      <c r="K58" s="18">
        <v>17.014944076538086</v>
      </c>
    </row>
    <row r="59" spans="2:11">
      <c r="B59" s="18">
        <v>8</v>
      </c>
      <c r="C59" s="18">
        <v>6941541.5</v>
      </c>
      <c r="D59" s="19">
        <v>6950342.5</v>
      </c>
      <c r="E59" s="18">
        <v>7041967</v>
      </c>
      <c r="F59" s="18">
        <v>13134838</v>
      </c>
      <c r="G59" s="18">
        <v>13540020</v>
      </c>
      <c r="H59" s="18">
        <v>12752164</v>
      </c>
      <c r="I59" s="18">
        <v>17.076139450073242</v>
      </c>
      <c r="J59" s="18">
        <v>17.2667236328125</v>
      </c>
      <c r="K59" s="18">
        <v>16.642967224121094</v>
      </c>
    </row>
    <row r="60" spans="2:11">
      <c r="B60" s="18">
        <v>8</v>
      </c>
      <c r="C60" s="18">
        <v>6927790</v>
      </c>
      <c r="D60" s="19">
        <v>6795366.5</v>
      </c>
      <c r="E60" s="18">
        <v>6755520.5</v>
      </c>
      <c r="F60" s="18">
        <v>13339596</v>
      </c>
      <c r="G60" s="18">
        <v>13159335</v>
      </c>
      <c r="H60" s="18">
        <v>12882706</v>
      </c>
      <c r="I60" s="18">
        <v>16.783576965332031</v>
      </c>
      <c r="J60" s="18">
        <v>17.265625</v>
      </c>
      <c r="K60" s="18">
        <v>16.88435173034668</v>
      </c>
    </row>
    <row r="61" spans="2:11">
      <c r="B61" s="18">
        <v>8</v>
      </c>
      <c r="C61" s="18">
        <v>6473550</v>
      </c>
      <c r="D61" s="19">
        <v>6517835.5</v>
      </c>
      <c r="E61" s="18">
        <v>6508168</v>
      </c>
      <c r="F61" s="18">
        <v>13070446</v>
      </c>
      <c r="G61" s="18">
        <v>13341900</v>
      </c>
      <c r="H61" s="18">
        <v>13170481</v>
      </c>
      <c r="I61" s="18">
        <v>17.136777877807617</v>
      </c>
      <c r="J61" s="18">
        <v>17.335199356079102</v>
      </c>
      <c r="K61" s="18">
        <v>16.846342086791992</v>
      </c>
    </row>
    <row r="62" spans="2:11">
      <c r="B62" s="18">
        <v>8</v>
      </c>
      <c r="C62" s="18">
        <v>6794521.5</v>
      </c>
      <c r="D62" s="19">
        <v>7017220.5</v>
      </c>
      <c r="E62" s="18">
        <v>6711832</v>
      </c>
      <c r="F62" s="18">
        <v>12943193</v>
      </c>
      <c r="G62" s="18">
        <v>13007939</v>
      </c>
      <c r="H62" s="18">
        <v>12790255</v>
      </c>
      <c r="I62" s="18">
        <v>17.043844223022461</v>
      </c>
      <c r="J62" s="18">
        <v>17.082088470458984</v>
      </c>
      <c r="K62" s="18">
        <v>16.774477005004883</v>
      </c>
    </row>
    <row r="63" spans="2:11">
      <c r="B63" s="18">
        <v>8</v>
      </c>
      <c r="C63" s="18">
        <v>6685435</v>
      </c>
      <c r="D63" s="19">
        <v>6656651</v>
      </c>
      <c r="E63" s="18">
        <v>6673846.5</v>
      </c>
      <c r="F63" s="18">
        <v>13238503</v>
      </c>
      <c r="G63" s="18">
        <v>13382675</v>
      </c>
      <c r="H63" s="18">
        <v>12739492</v>
      </c>
      <c r="I63" s="18">
        <v>16.861684799194336</v>
      </c>
      <c r="J63" s="18">
        <v>17.316106796264648</v>
      </c>
      <c r="K63" s="18">
        <v>16.793651580810547</v>
      </c>
    </row>
    <row r="64" spans="2:11">
      <c r="B64" s="18">
        <v>8</v>
      </c>
      <c r="C64" s="18">
        <v>6458570.5</v>
      </c>
      <c r="D64" s="19">
        <v>6636498</v>
      </c>
      <c r="E64" s="18">
        <v>6501658</v>
      </c>
      <c r="F64" s="18">
        <v>12672273</v>
      </c>
      <c r="G64" s="18">
        <v>12877505</v>
      </c>
      <c r="H64" s="18">
        <v>12534546</v>
      </c>
      <c r="I64" s="18">
        <v>16.349777221679688</v>
      </c>
      <c r="J64" s="18">
        <v>16.972955703735352</v>
      </c>
      <c r="K64" s="18">
        <v>16.205245971679688</v>
      </c>
    </row>
    <row r="65" spans="2:11">
      <c r="B65" s="18">
        <v>8</v>
      </c>
      <c r="C65" s="18">
        <v>6727372.5</v>
      </c>
      <c r="D65" s="19">
        <v>6839676</v>
      </c>
      <c r="E65" s="18">
        <v>6689941</v>
      </c>
      <c r="F65" s="18">
        <v>12806256</v>
      </c>
      <c r="G65" s="18">
        <v>12904607</v>
      </c>
      <c r="H65" s="18">
        <v>12462515</v>
      </c>
      <c r="I65" s="18">
        <v>16.415454864501953</v>
      </c>
      <c r="J65" s="18">
        <v>16.901962280273438</v>
      </c>
      <c r="K65" s="18">
        <v>16.237009048461914</v>
      </c>
    </row>
    <row r="66" spans="2:11">
      <c r="B66" s="18">
        <v>8</v>
      </c>
      <c r="C66" s="18">
        <v>6736814.5</v>
      </c>
      <c r="D66" s="19">
        <v>6660209.5</v>
      </c>
      <c r="E66" s="18">
        <v>6717954</v>
      </c>
      <c r="F66" s="18">
        <v>12975054</v>
      </c>
      <c r="G66" s="18">
        <v>13282421</v>
      </c>
      <c r="H66" s="18">
        <v>12937473</v>
      </c>
      <c r="I66" s="18">
        <v>17.150674819946289</v>
      </c>
      <c r="J66" s="18">
        <v>17.545696258544922</v>
      </c>
      <c r="K66" s="18">
        <v>16.694543838500977</v>
      </c>
    </row>
    <row r="67" spans="2:11">
      <c r="B67" s="18">
        <v>8</v>
      </c>
      <c r="C67" s="18">
        <v>6617043.5</v>
      </c>
      <c r="D67" s="19">
        <v>6772945</v>
      </c>
      <c r="E67" s="18">
        <v>6676545.5</v>
      </c>
      <c r="F67" s="18">
        <v>13744003</v>
      </c>
      <c r="G67" s="18">
        <v>13362941</v>
      </c>
      <c r="H67" s="18">
        <v>13192596</v>
      </c>
      <c r="I67" s="18">
        <v>17.307910919189453</v>
      </c>
      <c r="J67" s="18">
        <v>17.339971542358398</v>
      </c>
      <c r="K67" s="18">
        <v>16.972528457641602</v>
      </c>
    </row>
    <row r="68" spans="2:11">
      <c r="B68" s="18">
        <v>8</v>
      </c>
      <c r="C68" s="18">
        <v>6486114</v>
      </c>
      <c r="D68" s="19">
        <v>6473654</v>
      </c>
      <c r="E68" s="18">
        <v>6471550.5</v>
      </c>
      <c r="F68" s="18">
        <v>12797036</v>
      </c>
      <c r="G68" s="18">
        <v>13104867</v>
      </c>
      <c r="H68" s="18">
        <v>12478096</v>
      </c>
      <c r="I68" s="18">
        <v>16.730459213256836</v>
      </c>
      <c r="J68" s="18">
        <v>16.935911178588867</v>
      </c>
      <c r="K68" s="18">
        <v>16.613855361938477</v>
      </c>
    </row>
    <row r="69" spans="2:11">
      <c r="B69" s="18">
        <v>8</v>
      </c>
      <c r="C69" s="18">
        <v>6645335.5</v>
      </c>
      <c r="D69" s="19">
        <v>6873880</v>
      </c>
      <c r="E69" s="18">
        <v>6803920</v>
      </c>
      <c r="F69" s="18">
        <v>14109927</v>
      </c>
      <c r="G69" s="18">
        <v>14079366</v>
      </c>
      <c r="H69" s="18">
        <v>14358088</v>
      </c>
      <c r="I69" s="18">
        <v>17.614297866821289</v>
      </c>
      <c r="J69" s="18">
        <v>17.316278457641602</v>
      </c>
      <c r="K69" s="18">
        <v>17.301441192626953</v>
      </c>
    </row>
    <row r="70" spans="2:11">
      <c r="B70" s="18">
        <v>8</v>
      </c>
      <c r="C70" s="18">
        <v>6640921.5</v>
      </c>
      <c r="D70" s="19">
        <v>6577955</v>
      </c>
      <c r="E70" s="18">
        <v>6529026</v>
      </c>
      <c r="F70" s="18">
        <v>12744329</v>
      </c>
      <c r="G70" s="18">
        <v>12963663</v>
      </c>
      <c r="H70" s="18">
        <v>12640655</v>
      </c>
      <c r="I70" s="18">
        <v>16.971439361572266</v>
      </c>
      <c r="J70" s="18">
        <v>17.095939636230469</v>
      </c>
      <c r="K70" s="18">
        <v>16.860488891601563</v>
      </c>
    </row>
    <row r="71" spans="2:11">
      <c r="B71" s="18">
        <v>8</v>
      </c>
      <c r="C71" s="18">
        <v>6727655.5</v>
      </c>
      <c r="D71" s="19">
        <v>6601596</v>
      </c>
      <c r="E71" s="18">
        <v>6595732</v>
      </c>
      <c r="F71" s="18">
        <v>13742288</v>
      </c>
      <c r="G71" s="18">
        <v>13671782</v>
      </c>
      <c r="H71" s="18">
        <v>13304765</v>
      </c>
      <c r="I71" s="18">
        <v>17.912450790405273</v>
      </c>
      <c r="J71" s="18">
        <v>17.995716094970703</v>
      </c>
      <c r="K71" s="18">
        <v>17.03839111328125</v>
      </c>
    </row>
    <row r="72" spans="2:11">
      <c r="B72" s="18">
        <v>8</v>
      </c>
      <c r="C72" s="18">
        <v>6984449.5</v>
      </c>
      <c r="D72" s="19">
        <v>7056032.5</v>
      </c>
      <c r="E72" s="18">
        <v>6939565.5</v>
      </c>
      <c r="F72" s="18">
        <v>13542456</v>
      </c>
      <c r="G72" s="18">
        <v>13581292</v>
      </c>
      <c r="H72" s="18">
        <v>13152960</v>
      </c>
      <c r="I72" s="18">
        <v>17.156595230102539</v>
      </c>
      <c r="J72" s="18">
        <v>17.481330871582031</v>
      </c>
      <c r="K72" s="18">
        <v>16.849029541015625</v>
      </c>
    </row>
    <row r="73" spans="2:11">
      <c r="B73" s="18">
        <v>8</v>
      </c>
      <c r="C73" s="18">
        <v>6619633.5</v>
      </c>
      <c r="D73" s="19">
        <v>6810642</v>
      </c>
      <c r="E73" s="18">
        <v>6749003.5</v>
      </c>
      <c r="F73" s="18">
        <v>13037591</v>
      </c>
      <c r="G73" s="18">
        <v>13343410</v>
      </c>
      <c r="H73" s="18">
        <v>13092390</v>
      </c>
      <c r="I73" s="18">
        <v>16.684879302978516</v>
      </c>
      <c r="J73" s="18">
        <v>17.249366760253906</v>
      </c>
      <c r="K73" s="18">
        <v>16.557443618774414</v>
      </c>
    </row>
    <row r="74" spans="2:11">
      <c r="B74" s="18">
        <v>8</v>
      </c>
      <c r="C74" s="18">
        <v>6704215</v>
      </c>
      <c r="D74" s="19">
        <v>6657813</v>
      </c>
      <c r="E74" s="18">
        <v>6644718.5</v>
      </c>
      <c r="F74" s="18">
        <v>12997689</v>
      </c>
      <c r="G74" s="18">
        <v>12926127</v>
      </c>
      <c r="H74" s="18">
        <v>12673738</v>
      </c>
      <c r="I74" s="18">
        <v>16.9442138671875</v>
      </c>
      <c r="J74" s="18">
        <v>17.291040420532227</v>
      </c>
      <c r="K74" s="18">
        <v>16.625930786132813</v>
      </c>
    </row>
    <row r="75" spans="2:11">
      <c r="B75" s="18">
        <v>8</v>
      </c>
      <c r="C75" s="18">
        <v>7013626</v>
      </c>
      <c r="D75" s="19">
        <v>6865879</v>
      </c>
      <c r="E75" s="18">
        <v>6826613</v>
      </c>
      <c r="F75" s="18">
        <v>13446093</v>
      </c>
      <c r="G75" s="18">
        <v>13213065</v>
      </c>
      <c r="H75" s="18">
        <v>13251103</v>
      </c>
      <c r="I75" s="18">
        <v>17.293363571166992</v>
      </c>
      <c r="J75" s="18">
        <v>17.227413177490234</v>
      </c>
      <c r="K75" s="18">
        <v>16.89947509765625</v>
      </c>
    </row>
    <row r="76" spans="2:11">
      <c r="B76" s="18">
        <v>8</v>
      </c>
      <c r="C76" s="18">
        <v>6696280</v>
      </c>
      <c r="D76" s="19">
        <v>6723674.5</v>
      </c>
      <c r="E76" s="18">
        <v>6579980</v>
      </c>
      <c r="F76" s="18">
        <v>13747440</v>
      </c>
      <c r="G76" s="18">
        <v>14011986</v>
      </c>
      <c r="H76" s="18">
        <v>13265170</v>
      </c>
      <c r="I76" s="18">
        <v>17.753391265869141</v>
      </c>
      <c r="J76" s="18">
        <v>18.276350021362305</v>
      </c>
      <c r="K76" s="18">
        <v>17.445840835571289</v>
      </c>
    </row>
    <row r="77" spans="2:11">
      <c r="B77" s="18">
        <v>8</v>
      </c>
      <c r="C77" s="18">
        <v>7024094</v>
      </c>
      <c r="D77" s="19">
        <v>6736982</v>
      </c>
      <c r="E77" s="18">
        <v>6857912.5</v>
      </c>
      <c r="F77" s="18">
        <v>13487311</v>
      </c>
      <c r="G77" s="18">
        <v>13714049</v>
      </c>
      <c r="H77" s="18">
        <v>13218783</v>
      </c>
      <c r="I77" s="18">
        <v>17.195486068725586</v>
      </c>
      <c r="J77" s="18">
        <v>17.767147064208984</v>
      </c>
      <c r="K77" s="18">
        <v>17.133037567138672</v>
      </c>
    </row>
    <row r="78" spans="2:11">
      <c r="B78" s="18">
        <v>8</v>
      </c>
      <c r="C78" s="18">
        <v>7691808</v>
      </c>
      <c r="D78" s="19">
        <v>7874890.5</v>
      </c>
      <c r="E78" s="18">
        <v>7837741</v>
      </c>
      <c r="F78" s="18">
        <v>13819703</v>
      </c>
      <c r="G78" s="18">
        <v>13553224</v>
      </c>
      <c r="H78" s="18">
        <v>13660559</v>
      </c>
      <c r="I78" s="18">
        <v>18.164472579956055</v>
      </c>
      <c r="J78" s="18">
        <v>18.902776718139648</v>
      </c>
      <c r="K78" s="18">
        <v>18.099210739135742</v>
      </c>
    </row>
    <row r="79" spans="2:11">
      <c r="B79" s="18">
        <v>8</v>
      </c>
      <c r="C79" s="18">
        <v>7146004</v>
      </c>
      <c r="D79" s="19">
        <v>7308640</v>
      </c>
      <c r="E79" s="18">
        <v>7463369.5</v>
      </c>
      <c r="F79" s="18">
        <v>13262991</v>
      </c>
      <c r="G79" s="18">
        <v>13236317</v>
      </c>
      <c r="H79" s="18">
        <v>13394827</v>
      </c>
      <c r="I79" s="18">
        <v>16.68766975402832</v>
      </c>
      <c r="J79" s="18">
        <v>17.182989120483398</v>
      </c>
      <c r="K79" s="18">
        <v>16.43865966796875</v>
      </c>
    </row>
    <row r="80" spans="2:11">
      <c r="B80" s="18">
        <v>8</v>
      </c>
      <c r="C80" s="18">
        <v>7063874.5</v>
      </c>
      <c r="D80" s="19">
        <v>6983977.5</v>
      </c>
      <c r="E80" s="18">
        <v>6779740</v>
      </c>
      <c r="F80" s="18">
        <v>12995628</v>
      </c>
      <c r="G80" s="18">
        <v>13125857</v>
      </c>
      <c r="H80" s="18">
        <v>12783681</v>
      </c>
      <c r="I80" s="18">
        <v>17.01945686340332</v>
      </c>
      <c r="J80" s="18">
        <v>16.715900421142578</v>
      </c>
      <c r="K80" s="18">
        <v>16.107803344726563</v>
      </c>
    </row>
    <row r="81" spans="2:11">
      <c r="B81" s="18">
        <v>8</v>
      </c>
      <c r="C81" s="18">
        <v>6860360</v>
      </c>
      <c r="D81" s="19">
        <v>6870710.5</v>
      </c>
      <c r="E81" s="18">
        <v>6717724</v>
      </c>
      <c r="F81" s="18">
        <v>13064632</v>
      </c>
      <c r="G81" s="18">
        <v>13501972</v>
      </c>
      <c r="H81" s="18">
        <v>12552614</v>
      </c>
      <c r="I81" s="18">
        <v>16.952043533325195</v>
      </c>
      <c r="J81" s="18">
        <v>16.942188262939453</v>
      </c>
      <c r="K81" s="18">
        <v>16.324615478515625</v>
      </c>
    </row>
    <row r="82" spans="2:11">
      <c r="B82" s="18">
        <v>8</v>
      </c>
      <c r="C82" s="18">
        <v>6691032</v>
      </c>
      <c r="D82" s="19">
        <v>6669812</v>
      </c>
      <c r="E82" s="18">
        <v>6652238</v>
      </c>
      <c r="F82" s="18">
        <v>13006350</v>
      </c>
      <c r="G82" s="18">
        <v>13145491</v>
      </c>
      <c r="H82" s="18">
        <v>12656905</v>
      </c>
      <c r="I82" s="18">
        <v>16.961238861083984</v>
      </c>
      <c r="J82" s="18">
        <v>17.10887336730957</v>
      </c>
      <c r="K82" s="18">
        <v>16.821964263916016</v>
      </c>
    </row>
    <row r="83" spans="2:11">
      <c r="B83" s="18">
        <v>8</v>
      </c>
      <c r="C83" s="18">
        <v>6521856</v>
      </c>
      <c r="D83" s="19">
        <v>6513020</v>
      </c>
      <c r="E83" s="18">
        <v>6429035.5</v>
      </c>
      <c r="F83" s="18">
        <v>13291294</v>
      </c>
      <c r="G83" s="18">
        <v>13329895</v>
      </c>
      <c r="H83" s="18">
        <v>13260550</v>
      </c>
      <c r="I83" s="18">
        <v>16.564836502075195</v>
      </c>
      <c r="J83" s="18">
        <v>16.588155746459961</v>
      </c>
      <c r="K83" s="18">
        <v>16.259410858154297</v>
      </c>
    </row>
    <row r="84" spans="2:11">
      <c r="B84" s="18">
        <v>8</v>
      </c>
      <c r="C84" s="18">
        <v>6679173.5</v>
      </c>
      <c r="D84" s="19">
        <v>6693363.5</v>
      </c>
      <c r="E84" s="18">
        <v>6861448.5</v>
      </c>
      <c r="F84" s="18">
        <v>13236171</v>
      </c>
      <c r="G84" s="18">
        <v>13433573</v>
      </c>
      <c r="H84" s="18">
        <v>13166982</v>
      </c>
      <c r="I84" s="18">
        <v>17.873260498046875</v>
      </c>
      <c r="J84" s="18">
        <v>17.54155158996582</v>
      </c>
      <c r="K84" s="18">
        <v>17.22564697265625</v>
      </c>
    </row>
    <row r="85" spans="2:11">
      <c r="B85" s="18">
        <v>8</v>
      </c>
      <c r="C85" s="18">
        <v>7077621.5</v>
      </c>
      <c r="D85" s="19">
        <v>7040328.5</v>
      </c>
      <c r="E85" s="18">
        <v>6746512.5</v>
      </c>
      <c r="F85" s="18">
        <v>12862957</v>
      </c>
      <c r="G85" s="18">
        <v>13113223</v>
      </c>
      <c r="H85" s="18">
        <v>12638365</v>
      </c>
      <c r="I85" s="18">
        <v>16.95789909362793</v>
      </c>
      <c r="J85" s="18">
        <v>16.847761154174805</v>
      </c>
      <c r="K85" s="18">
        <v>16.63746452331543</v>
      </c>
    </row>
    <row r="86" spans="2:11">
      <c r="B86" s="18">
        <v>8</v>
      </c>
      <c r="C86" s="18">
        <v>7070247</v>
      </c>
      <c r="D86" s="19">
        <v>6851049</v>
      </c>
      <c r="E86" s="18">
        <v>6904347.5</v>
      </c>
      <c r="F86" s="18">
        <v>13264122</v>
      </c>
      <c r="G86" s="18">
        <v>13744110</v>
      </c>
      <c r="H86" s="18">
        <v>12994782</v>
      </c>
      <c r="I86" s="18">
        <v>17.487554550170898</v>
      </c>
      <c r="J86" s="18">
        <v>17.68333625793457</v>
      </c>
      <c r="K86" s="18">
        <v>16.589067459106445</v>
      </c>
    </row>
    <row r="87" spans="2:11">
      <c r="B87" s="18">
        <v>8</v>
      </c>
      <c r="C87" s="18">
        <v>6689363.5</v>
      </c>
      <c r="D87" s="19">
        <v>6841030</v>
      </c>
      <c r="E87" s="18">
        <v>6722078</v>
      </c>
      <c r="F87" s="18">
        <v>13777519</v>
      </c>
      <c r="G87" s="18">
        <v>13818602</v>
      </c>
      <c r="H87" s="18">
        <v>13382611</v>
      </c>
      <c r="I87" s="18">
        <v>16.944791793823242</v>
      </c>
      <c r="J87" s="18">
        <v>17.27092170715332</v>
      </c>
      <c r="K87" s="18">
        <v>16.483882904052734</v>
      </c>
    </row>
    <row r="88" spans="2:11">
      <c r="B88" s="18">
        <v>8</v>
      </c>
      <c r="C88" s="18">
        <v>6639289.5</v>
      </c>
      <c r="D88" s="19">
        <v>6819954.5</v>
      </c>
      <c r="E88" s="18">
        <v>6861715.5</v>
      </c>
      <c r="F88" s="18">
        <v>13348328</v>
      </c>
      <c r="G88" s="18">
        <v>13522259</v>
      </c>
      <c r="H88" s="18">
        <v>13010489</v>
      </c>
      <c r="I88" s="18">
        <v>17.856847763061523</v>
      </c>
      <c r="J88" s="18">
        <v>17.662725448608398</v>
      </c>
      <c r="K88" s="18">
        <v>17.411155700683594</v>
      </c>
    </row>
    <row r="89" spans="2:11">
      <c r="B89" s="18">
        <v>8</v>
      </c>
      <c r="C89" s="18">
        <v>7086578</v>
      </c>
      <c r="D89" s="19">
        <v>7165353.5</v>
      </c>
      <c r="E89" s="18">
        <v>7004453</v>
      </c>
      <c r="F89" s="18">
        <v>13164696</v>
      </c>
      <c r="G89" s="18">
        <v>13727578</v>
      </c>
      <c r="H89" s="18">
        <v>13013870</v>
      </c>
      <c r="I89" s="18">
        <v>16.741485595703125</v>
      </c>
      <c r="J89" s="18">
        <v>17.374002456665039</v>
      </c>
      <c r="K89" s="18">
        <v>16.443803787231445</v>
      </c>
    </row>
    <row r="90" spans="2:11">
      <c r="B90" s="18">
        <v>8</v>
      </c>
      <c r="C90" s="18">
        <v>6642897.5</v>
      </c>
      <c r="D90" s="19">
        <v>6672985</v>
      </c>
      <c r="E90" s="18">
        <v>6780676</v>
      </c>
      <c r="F90" s="18">
        <v>13600668</v>
      </c>
      <c r="G90" s="18">
        <v>13607323</v>
      </c>
      <c r="H90" s="18">
        <v>13024596</v>
      </c>
      <c r="I90" s="18">
        <v>16.724542617797852</v>
      </c>
      <c r="J90" s="18">
        <v>16.901660919189453</v>
      </c>
      <c r="K90" s="18">
        <v>16.740501403808594</v>
      </c>
    </row>
    <row r="91" spans="2:11">
      <c r="B91" s="18">
        <v>8</v>
      </c>
      <c r="C91" s="18">
        <v>6864585.5</v>
      </c>
      <c r="D91" s="19">
        <v>6884138.5</v>
      </c>
      <c r="E91" s="18">
        <v>6970646.5</v>
      </c>
      <c r="F91" s="18">
        <v>12873262</v>
      </c>
      <c r="G91" s="18">
        <v>13044250</v>
      </c>
      <c r="H91" s="18">
        <v>12598915</v>
      </c>
      <c r="I91" s="18">
        <v>16.589797973632813</v>
      </c>
      <c r="J91" s="18">
        <v>16.957950592041016</v>
      </c>
      <c r="K91" s="18">
        <v>16.291893005371094</v>
      </c>
    </row>
    <row r="92" spans="2:11">
      <c r="B92" s="18">
        <v>10</v>
      </c>
      <c r="C92" s="18">
        <v>7579432</v>
      </c>
      <c r="D92" s="19">
        <v>7602010</v>
      </c>
      <c r="E92" s="18">
        <v>7337778</v>
      </c>
      <c r="F92" s="18">
        <v>13120532</v>
      </c>
      <c r="G92" s="18">
        <v>13092398</v>
      </c>
      <c r="H92" s="18">
        <v>12952202</v>
      </c>
      <c r="I92" s="18">
        <v>16.607820510864258</v>
      </c>
      <c r="J92" s="18">
        <v>16.993200302124023</v>
      </c>
      <c r="K92" s="18">
        <v>15.984075546264648</v>
      </c>
    </row>
    <row r="93" spans="2:11">
      <c r="B93" s="18">
        <v>10</v>
      </c>
      <c r="C93" s="18">
        <v>7789033</v>
      </c>
      <c r="D93" s="19">
        <v>7821243</v>
      </c>
      <c r="E93" s="18">
        <v>7556865</v>
      </c>
      <c r="F93" s="18">
        <v>13533677</v>
      </c>
      <c r="G93" s="18">
        <v>13516215</v>
      </c>
      <c r="H93" s="18">
        <v>13450616</v>
      </c>
      <c r="I93" s="18">
        <v>17.489389419555664</v>
      </c>
      <c r="J93" s="18">
        <v>17.563262939453125</v>
      </c>
      <c r="K93" s="18">
        <v>17.015609741210938</v>
      </c>
    </row>
    <row r="94" spans="2:11">
      <c r="B94" s="18">
        <v>10</v>
      </c>
      <c r="C94" s="18">
        <v>7520962.5</v>
      </c>
      <c r="D94" s="19">
        <v>7471400.5</v>
      </c>
      <c r="E94" s="18">
        <v>7440349.5</v>
      </c>
      <c r="F94" s="18">
        <v>13927473</v>
      </c>
      <c r="G94" s="18">
        <v>13523889</v>
      </c>
      <c r="H94" s="18">
        <v>13461807</v>
      </c>
      <c r="I94" s="18">
        <v>16.81500244140625</v>
      </c>
      <c r="J94" s="18">
        <v>17.808994293212891</v>
      </c>
      <c r="K94" s="18">
        <v>17.035581588745117</v>
      </c>
    </row>
    <row r="95" spans="2:11">
      <c r="B95" s="18">
        <v>10</v>
      </c>
      <c r="C95" s="18">
        <v>7682134</v>
      </c>
      <c r="D95" s="19">
        <v>7884827</v>
      </c>
      <c r="E95" s="18">
        <v>7839300.5</v>
      </c>
      <c r="F95" s="18">
        <v>13835694</v>
      </c>
      <c r="G95" s="18">
        <v>13670475</v>
      </c>
      <c r="H95" s="18">
        <v>13446764</v>
      </c>
      <c r="I95" s="18">
        <v>16.989126205444336</v>
      </c>
      <c r="J95" s="18">
        <v>17.235904693603516</v>
      </c>
      <c r="K95" s="18">
        <v>16.558889389038086</v>
      </c>
    </row>
    <row r="96" spans="2:11">
      <c r="B96" s="18">
        <v>10</v>
      </c>
      <c r="C96" s="18">
        <v>7249743.5</v>
      </c>
      <c r="D96" s="19">
        <v>7222289.5</v>
      </c>
      <c r="E96" s="18">
        <v>7213111.5</v>
      </c>
      <c r="F96" s="18">
        <v>13527370</v>
      </c>
      <c r="G96" s="18">
        <v>13496782</v>
      </c>
      <c r="H96" s="18">
        <v>12977535</v>
      </c>
      <c r="I96" s="18">
        <v>17.080522537231445</v>
      </c>
      <c r="J96" s="18">
        <v>17.042306900024414</v>
      </c>
      <c r="K96" s="18">
        <v>16.446821212768555</v>
      </c>
    </row>
    <row r="97" spans="2:11">
      <c r="B97" s="18">
        <v>10</v>
      </c>
      <c r="C97" s="18">
        <v>7476101.5</v>
      </c>
      <c r="D97" s="19">
        <v>7465282.5</v>
      </c>
      <c r="E97" s="18">
        <v>7381001.5</v>
      </c>
      <c r="F97" s="18">
        <v>13510676</v>
      </c>
      <c r="G97" s="18">
        <v>13375225</v>
      </c>
      <c r="H97" s="18">
        <v>12816069</v>
      </c>
      <c r="I97" s="18">
        <v>16.999443054199219</v>
      </c>
      <c r="J97" s="18">
        <v>17.713956832885742</v>
      </c>
      <c r="K97" s="18">
        <v>17.097787857055664</v>
      </c>
    </row>
    <row r="98" spans="2:11">
      <c r="B98" s="18">
        <v>10</v>
      </c>
      <c r="C98" s="18">
        <v>7355159.5</v>
      </c>
      <c r="D98" s="19">
        <v>7245624.5</v>
      </c>
      <c r="E98" s="18">
        <v>7481819</v>
      </c>
      <c r="F98" s="18">
        <v>13856778</v>
      </c>
      <c r="G98" s="18">
        <v>14464554</v>
      </c>
      <c r="H98" s="18">
        <v>13556622</v>
      </c>
      <c r="I98" s="18">
        <v>16.8353271484375</v>
      </c>
      <c r="J98" s="18">
        <v>17.768043518066406</v>
      </c>
      <c r="K98" s="18">
        <v>16.384428024291992</v>
      </c>
    </row>
    <row r="99" spans="2:11">
      <c r="B99" s="18">
        <v>10</v>
      </c>
      <c r="C99" s="18">
        <v>7325319</v>
      </c>
      <c r="D99" s="19">
        <v>7335979.5</v>
      </c>
      <c r="E99" s="18">
        <v>7217913</v>
      </c>
      <c r="F99" s="18">
        <v>13111862</v>
      </c>
      <c r="G99" s="18">
        <v>13300560</v>
      </c>
      <c r="H99" s="18">
        <v>13024573</v>
      </c>
      <c r="I99" s="18">
        <v>17.384355545043945</v>
      </c>
      <c r="J99" s="18">
        <v>17.304243087768555</v>
      </c>
      <c r="K99" s="18">
        <v>16.448467254638672</v>
      </c>
    </row>
    <row r="100" spans="2:11">
      <c r="B100" s="18">
        <v>10</v>
      </c>
      <c r="C100" s="18">
        <v>7442195.5</v>
      </c>
      <c r="D100" s="19">
        <v>7389938.5</v>
      </c>
      <c r="E100" s="18">
        <v>7394573.5</v>
      </c>
      <c r="F100" s="18">
        <v>13635167</v>
      </c>
      <c r="G100" s="18">
        <v>13639846</v>
      </c>
      <c r="H100" s="18">
        <v>13816027</v>
      </c>
      <c r="I100" s="18">
        <v>16.744848251342773</v>
      </c>
      <c r="J100" s="18">
        <v>17.318729400634766</v>
      </c>
      <c r="K100" s="18">
        <v>16.86616325378418</v>
      </c>
    </row>
    <row r="101" spans="2:11">
      <c r="B101" s="18">
        <v>10</v>
      </c>
      <c r="C101" s="18">
        <v>7363242.5</v>
      </c>
      <c r="D101" s="19">
        <v>7558494</v>
      </c>
      <c r="E101" s="18">
        <v>7277919</v>
      </c>
      <c r="F101" s="18">
        <v>13795526</v>
      </c>
      <c r="G101" s="18">
        <v>13838075</v>
      </c>
      <c r="H101" s="18">
        <v>13407955</v>
      </c>
      <c r="I101" s="18">
        <v>17.391389846801758</v>
      </c>
      <c r="J101" s="18">
        <v>17.651998519897461</v>
      </c>
      <c r="K101" s="18">
        <v>17.101816177368164</v>
      </c>
    </row>
    <row r="102" spans="2:11">
      <c r="B102" s="18">
        <v>10</v>
      </c>
      <c r="C102" s="18">
        <v>7492211</v>
      </c>
      <c r="D102" s="19">
        <v>7407301</v>
      </c>
      <c r="E102" s="18">
        <v>7259631.5</v>
      </c>
      <c r="F102" s="18">
        <v>13789163</v>
      </c>
      <c r="G102" s="18">
        <v>13541708</v>
      </c>
      <c r="H102" s="18">
        <v>13582237</v>
      </c>
      <c r="I102" s="18">
        <v>16.822580337524414</v>
      </c>
      <c r="J102" s="18">
        <v>17.201421737670898</v>
      </c>
      <c r="K102" s="18">
        <v>16.421571731567383</v>
      </c>
    </row>
    <row r="103" spans="2:11">
      <c r="B103" s="18">
        <v>10</v>
      </c>
      <c r="C103" s="18">
        <v>7411119.5</v>
      </c>
      <c r="D103" s="19">
        <v>7455185.5</v>
      </c>
      <c r="E103" s="18">
        <v>7303754</v>
      </c>
      <c r="F103" s="18">
        <v>14229653</v>
      </c>
      <c r="G103" s="18">
        <v>14002065</v>
      </c>
      <c r="H103" s="18">
        <v>13280937</v>
      </c>
      <c r="I103" s="18">
        <v>17.664535522460938</v>
      </c>
      <c r="J103" s="18">
        <v>17.324104309082031</v>
      </c>
      <c r="K103" s="18">
        <v>16.393590927124023</v>
      </c>
    </row>
    <row r="104" spans="2:11">
      <c r="B104" s="18">
        <v>10</v>
      </c>
      <c r="C104" s="18">
        <v>7402858</v>
      </c>
      <c r="D104" s="19">
        <v>7702546</v>
      </c>
      <c r="E104" s="18">
        <v>7478708.5</v>
      </c>
      <c r="F104" s="18">
        <v>13271787</v>
      </c>
      <c r="G104" s="18">
        <v>13600001</v>
      </c>
      <c r="H104" s="18">
        <v>13229246</v>
      </c>
      <c r="I104" s="18">
        <v>16.675716400146484</v>
      </c>
      <c r="J104" s="18">
        <v>17.25505256652832</v>
      </c>
      <c r="K104" s="18">
        <v>16.053670883178711</v>
      </c>
    </row>
    <row r="105" spans="2:11">
      <c r="B105" s="18">
        <v>10</v>
      </c>
      <c r="C105" s="18">
        <v>7124632.5</v>
      </c>
      <c r="D105" s="19">
        <v>7215750.5</v>
      </c>
      <c r="E105" s="18">
        <v>7224321</v>
      </c>
      <c r="F105" s="18">
        <v>13488992</v>
      </c>
      <c r="G105" s="18">
        <v>13804867</v>
      </c>
      <c r="H105" s="18">
        <v>13504905</v>
      </c>
      <c r="I105" s="18">
        <v>17.412525177001953</v>
      </c>
      <c r="J105" s="18">
        <v>17.689922332763672</v>
      </c>
      <c r="K105" s="18">
        <v>16.847188949584961</v>
      </c>
    </row>
    <row r="106" spans="2:11">
      <c r="B106" s="18">
        <v>10</v>
      </c>
      <c r="C106" s="18">
        <v>7166818.5</v>
      </c>
      <c r="D106" s="19">
        <v>7304617</v>
      </c>
      <c r="E106" s="18">
        <v>7463239</v>
      </c>
      <c r="F106" s="18">
        <v>13446499</v>
      </c>
      <c r="G106" s="18">
        <v>13445364</v>
      </c>
      <c r="H106" s="18">
        <v>13066024</v>
      </c>
      <c r="I106" s="18">
        <v>16.563560485839844</v>
      </c>
      <c r="J106" s="18">
        <v>16.984586715698242</v>
      </c>
      <c r="K106" s="18">
        <v>16.26533317565918</v>
      </c>
    </row>
    <row r="107" spans="2:11">
      <c r="B107" s="18">
        <v>10</v>
      </c>
      <c r="C107" s="18">
        <v>7351890</v>
      </c>
      <c r="D107" s="19">
        <v>7419749.5</v>
      </c>
      <c r="E107" s="18">
        <v>7230527.5</v>
      </c>
      <c r="F107" s="18">
        <v>13537263</v>
      </c>
      <c r="G107" s="18">
        <v>13441634</v>
      </c>
      <c r="H107" s="18">
        <v>13057962</v>
      </c>
      <c r="I107" s="18">
        <v>17.001684188842773</v>
      </c>
      <c r="J107" s="18">
        <v>17.165506362915039</v>
      </c>
      <c r="K107" s="18">
        <v>16.472940444946289</v>
      </c>
    </row>
    <row r="108" spans="2:11">
      <c r="B108" s="18">
        <v>10</v>
      </c>
      <c r="C108" s="18">
        <v>7396092</v>
      </c>
      <c r="D108" s="19">
        <v>7444485</v>
      </c>
      <c r="E108" s="18">
        <v>7387721</v>
      </c>
      <c r="F108" s="18">
        <v>13871127</v>
      </c>
      <c r="G108" s="18">
        <v>13504723</v>
      </c>
      <c r="H108" s="18">
        <v>13308213</v>
      </c>
      <c r="I108" s="18">
        <v>17.025016784667969</v>
      </c>
      <c r="J108" s="18">
        <v>17.353500366210938</v>
      </c>
      <c r="K108" s="18">
        <v>16.39558219909668</v>
      </c>
    </row>
    <row r="109" spans="2:11">
      <c r="B109" s="18">
        <v>10</v>
      </c>
      <c r="C109" s="18">
        <v>7571887</v>
      </c>
      <c r="D109" s="19">
        <v>7374421.5</v>
      </c>
      <c r="E109" s="18">
        <v>7352598</v>
      </c>
      <c r="F109" s="18">
        <v>12987885</v>
      </c>
      <c r="G109" s="18">
        <v>12841420</v>
      </c>
      <c r="H109" s="18">
        <v>12748360</v>
      </c>
      <c r="I109" s="18">
        <v>16.790620803833008</v>
      </c>
      <c r="J109" s="18">
        <v>17.068939208984375</v>
      </c>
      <c r="K109" s="18">
        <v>16.360435485839844</v>
      </c>
    </row>
    <row r="110" spans="2:11">
      <c r="B110" s="18">
        <v>10</v>
      </c>
      <c r="C110" s="18">
        <v>7506776</v>
      </c>
      <c r="D110" s="19">
        <v>7424416.5</v>
      </c>
      <c r="E110" s="18">
        <v>7497691.5</v>
      </c>
      <c r="F110" s="18">
        <v>13480567</v>
      </c>
      <c r="G110" s="18">
        <v>13928282</v>
      </c>
      <c r="H110" s="18">
        <v>13116315</v>
      </c>
      <c r="I110" s="18">
        <v>16.847673416137695</v>
      </c>
      <c r="J110" s="18">
        <v>17.110382080078125</v>
      </c>
      <c r="K110" s="18">
        <v>16.366092681884766</v>
      </c>
    </row>
    <row r="111" spans="2:11">
      <c r="B111" s="18">
        <v>10</v>
      </c>
      <c r="C111" s="18">
        <v>7864074.5</v>
      </c>
      <c r="D111" s="19">
        <v>7585036.5</v>
      </c>
      <c r="E111" s="18">
        <v>7843842</v>
      </c>
      <c r="F111" s="18">
        <v>13822051</v>
      </c>
      <c r="G111" s="18">
        <v>13905437</v>
      </c>
      <c r="H111" s="18">
        <v>13692334</v>
      </c>
      <c r="I111" s="18">
        <v>17.305644989013672</v>
      </c>
      <c r="J111" s="18">
        <v>17.256317138671875</v>
      </c>
      <c r="K111" s="18">
        <v>16.865789413452148</v>
      </c>
    </row>
    <row r="112" spans="2:11">
      <c r="B112" s="18">
        <v>10</v>
      </c>
      <c r="C112" s="18">
        <v>7436777.5</v>
      </c>
      <c r="D112" s="19">
        <v>7389049</v>
      </c>
      <c r="E112" s="18">
        <v>7283218</v>
      </c>
      <c r="F112" s="18">
        <v>13369810</v>
      </c>
      <c r="G112" s="18">
        <v>13709989</v>
      </c>
      <c r="H112" s="18">
        <v>13258342</v>
      </c>
      <c r="I112" s="18">
        <v>16.602153778076172</v>
      </c>
      <c r="J112" s="18">
        <v>17.51746940612793</v>
      </c>
      <c r="K112" s="18">
        <v>16.459993362426758</v>
      </c>
    </row>
    <row r="113" spans="2:11">
      <c r="B113" s="18">
        <v>10</v>
      </c>
      <c r="C113" s="18">
        <v>7307663</v>
      </c>
      <c r="D113" s="19">
        <v>7187135.5</v>
      </c>
      <c r="E113" s="18">
        <v>7293933.5</v>
      </c>
      <c r="F113" s="18">
        <v>14094764</v>
      </c>
      <c r="G113" s="18">
        <v>14229489</v>
      </c>
      <c r="H113" s="18">
        <v>13909103</v>
      </c>
      <c r="I113" s="18">
        <v>17.8670654296875</v>
      </c>
      <c r="J113" s="18">
        <v>17.976537704467773</v>
      </c>
      <c r="K113" s="18">
        <v>17.311464309692383</v>
      </c>
    </row>
    <row r="114" spans="2:11">
      <c r="B114" s="18">
        <v>10</v>
      </c>
      <c r="C114" s="18">
        <v>7308488.5</v>
      </c>
      <c r="D114" s="19">
        <v>7274084.5</v>
      </c>
      <c r="E114" s="18">
        <v>7441293</v>
      </c>
      <c r="F114" s="18">
        <v>14321838</v>
      </c>
      <c r="G114" s="18">
        <v>14043273</v>
      </c>
      <c r="H114" s="18">
        <v>13580462</v>
      </c>
      <c r="I114" s="18">
        <v>17.096879959106445</v>
      </c>
      <c r="J114" s="18">
        <v>17.557685852050781</v>
      </c>
      <c r="K114" s="18">
        <v>16.306377410888672</v>
      </c>
    </row>
    <row r="115" spans="2:11">
      <c r="B115" s="18">
        <v>10</v>
      </c>
      <c r="C115" s="18">
        <v>7176472.5</v>
      </c>
      <c r="D115" s="19">
        <v>7588027</v>
      </c>
      <c r="E115" s="18">
        <v>7381686.5</v>
      </c>
      <c r="F115" s="18">
        <v>13403941</v>
      </c>
      <c r="G115" s="18">
        <v>14106684</v>
      </c>
      <c r="H115" s="18">
        <v>13363948</v>
      </c>
      <c r="I115" s="18">
        <v>17.723312377929688</v>
      </c>
      <c r="J115" s="18">
        <v>18.089437484741211</v>
      </c>
      <c r="K115" s="18">
        <v>17.018136978149414</v>
      </c>
    </row>
    <row r="116" spans="2:11">
      <c r="B116" s="18">
        <v>10</v>
      </c>
      <c r="C116" s="18">
        <v>7132661</v>
      </c>
      <c r="D116" s="19">
        <v>7244429.5</v>
      </c>
      <c r="E116" s="18">
        <v>7175019</v>
      </c>
      <c r="F116" s="18">
        <v>13552094</v>
      </c>
      <c r="G116" s="18">
        <v>13410508</v>
      </c>
      <c r="H116" s="18">
        <v>13088611</v>
      </c>
      <c r="I116" s="18">
        <v>17.114572525024414</v>
      </c>
      <c r="J116" s="18">
        <v>17.494550704956055</v>
      </c>
      <c r="K116" s="18">
        <v>16.998689651489258</v>
      </c>
    </row>
    <row r="117" spans="2:11">
      <c r="B117" s="18">
        <v>10</v>
      </c>
      <c r="C117" s="18">
        <v>7818076</v>
      </c>
      <c r="D117" s="19">
        <v>7720656</v>
      </c>
      <c r="E117" s="18">
        <v>7792220</v>
      </c>
      <c r="F117" s="18">
        <v>14041137</v>
      </c>
      <c r="G117" s="18">
        <v>13451229</v>
      </c>
      <c r="H117" s="18">
        <v>13019647</v>
      </c>
      <c r="I117" s="18">
        <v>16.768171310424805</v>
      </c>
      <c r="J117" s="18">
        <v>17.471946716308594</v>
      </c>
      <c r="K117" s="18">
        <v>16.729118347167969</v>
      </c>
    </row>
    <row r="118" spans="2:11">
      <c r="B118" s="18">
        <v>10</v>
      </c>
      <c r="C118" s="18">
        <v>7376803</v>
      </c>
      <c r="D118" s="19">
        <v>7513308</v>
      </c>
      <c r="E118" s="18">
        <v>7514136.5</v>
      </c>
      <c r="F118" s="18">
        <v>13127677</v>
      </c>
      <c r="G118" s="18">
        <v>13325444</v>
      </c>
      <c r="H118" s="18">
        <v>12606163</v>
      </c>
      <c r="I118" s="18">
        <v>16.589361190795898</v>
      </c>
      <c r="J118" s="18">
        <v>16.582687377929688</v>
      </c>
      <c r="K118" s="18">
        <v>16.097978591918945</v>
      </c>
    </row>
    <row r="119" spans="2:11">
      <c r="B119" s="18">
        <v>10</v>
      </c>
      <c r="C119" s="18">
        <v>7424470.5</v>
      </c>
      <c r="D119" s="19">
        <v>7115783.5</v>
      </c>
      <c r="E119" s="18">
        <v>7121536.5</v>
      </c>
      <c r="F119" s="18">
        <v>13620550</v>
      </c>
      <c r="G119" s="18">
        <v>13440261</v>
      </c>
      <c r="H119" s="18">
        <v>13153169</v>
      </c>
      <c r="I119" s="18">
        <v>17.04693603515625</v>
      </c>
      <c r="J119" s="18">
        <v>17.359725952148438</v>
      </c>
      <c r="K119" s="18">
        <v>16.569978713989258</v>
      </c>
    </row>
    <row r="120" spans="2:11">
      <c r="B120" s="18">
        <v>10</v>
      </c>
      <c r="C120" s="18">
        <v>7228396</v>
      </c>
      <c r="D120" s="19">
        <v>7081675</v>
      </c>
      <c r="E120" s="18">
        <v>7031221</v>
      </c>
      <c r="F120" s="18">
        <v>12986969</v>
      </c>
      <c r="G120" s="18">
        <v>13111343</v>
      </c>
      <c r="H120" s="18">
        <v>12650791</v>
      </c>
      <c r="I120" s="18">
        <v>16.614238739013672</v>
      </c>
      <c r="J120" s="18">
        <v>16.711767196655273</v>
      </c>
      <c r="K120" s="18">
        <v>16.13214111328125</v>
      </c>
    </row>
    <row r="121" spans="2:11">
      <c r="B121" s="18">
        <v>10</v>
      </c>
      <c r="C121" s="18">
        <v>7442785</v>
      </c>
      <c r="D121" s="19">
        <v>7311270</v>
      </c>
      <c r="E121" s="18">
        <v>7484221.5</v>
      </c>
      <c r="F121" s="18">
        <v>13606163</v>
      </c>
      <c r="G121" s="18">
        <v>13224996</v>
      </c>
      <c r="H121" s="18">
        <v>13028199</v>
      </c>
      <c r="I121" s="18">
        <v>16.514205932617188</v>
      </c>
      <c r="J121" s="18">
        <v>16.464345932006836</v>
      </c>
      <c r="K121" s="18">
        <v>16.43620491027832</v>
      </c>
    </row>
    <row r="122" spans="2:11">
      <c r="B122" s="18">
        <v>10</v>
      </c>
      <c r="C122" s="18">
        <v>7509098.5</v>
      </c>
      <c r="D122" s="19">
        <v>7514665</v>
      </c>
      <c r="E122" s="18">
        <v>7511885.5</v>
      </c>
      <c r="F122" s="18">
        <v>12983817</v>
      </c>
      <c r="G122" s="18">
        <v>13208333</v>
      </c>
      <c r="H122" s="18">
        <v>12719938</v>
      </c>
      <c r="I122" s="18">
        <v>16.873151779174805</v>
      </c>
      <c r="J122" s="18">
        <v>17.30859375</v>
      </c>
      <c r="K122" s="18">
        <v>16.753477096557617</v>
      </c>
    </row>
    <row r="123" spans="2:11">
      <c r="B123" s="18">
        <v>10</v>
      </c>
      <c r="C123" s="18">
        <v>7779111</v>
      </c>
      <c r="D123" s="19">
        <v>7476045.5</v>
      </c>
      <c r="E123" s="18">
        <v>7365699</v>
      </c>
      <c r="F123" s="18">
        <v>13845483</v>
      </c>
      <c r="G123" s="18">
        <v>14187925</v>
      </c>
      <c r="H123" s="18">
        <v>13107801</v>
      </c>
      <c r="I123" s="18">
        <v>17.010381698608398</v>
      </c>
      <c r="J123" s="18">
        <v>17.434015274047852</v>
      </c>
      <c r="K123" s="18">
        <v>16.641201019287109</v>
      </c>
    </row>
    <row r="124" spans="2:11">
      <c r="B124" s="18">
        <v>10</v>
      </c>
      <c r="C124" s="18">
        <v>7136736</v>
      </c>
      <c r="D124" s="19">
        <v>7119485</v>
      </c>
      <c r="E124" s="18">
        <v>7159485</v>
      </c>
      <c r="F124" s="18">
        <v>13680753</v>
      </c>
      <c r="G124" s="18">
        <v>13409530</v>
      </c>
      <c r="H124" s="18">
        <v>13449959</v>
      </c>
      <c r="I124" s="18">
        <v>16.487716674804688</v>
      </c>
      <c r="J124" s="18">
        <v>16.809043884277344</v>
      </c>
      <c r="K124" s="18">
        <v>16.303598403930664</v>
      </c>
    </row>
    <row r="125" spans="2:11">
      <c r="B125" s="18">
        <v>10</v>
      </c>
      <c r="C125" s="18">
        <v>7352258</v>
      </c>
      <c r="D125" s="19">
        <v>7469772</v>
      </c>
      <c r="E125" s="18">
        <v>7218498</v>
      </c>
      <c r="F125" s="18">
        <v>14495945</v>
      </c>
      <c r="G125" s="18">
        <v>13561924</v>
      </c>
      <c r="H125" s="18">
        <v>13602018</v>
      </c>
      <c r="I125" s="18">
        <v>17.878324508666992</v>
      </c>
      <c r="J125" s="18">
        <v>17.95867919921875</v>
      </c>
      <c r="K125" s="18">
        <v>17.268161773681641</v>
      </c>
    </row>
    <row r="126" spans="2:11">
      <c r="B126" s="18">
        <v>10</v>
      </c>
      <c r="C126" s="18">
        <v>7471428.5</v>
      </c>
      <c r="D126" s="19">
        <v>7485408</v>
      </c>
      <c r="E126" s="18">
        <v>7476466</v>
      </c>
      <c r="F126" s="18">
        <v>12961493</v>
      </c>
      <c r="G126" s="18">
        <v>13718061</v>
      </c>
      <c r="H126" s="18">
        <v>13289576</v>
      </c>
      <c r="I126" s="18">
        <v>16.379062652587891</v>
      </c>
      <c r="J126" s="18">
        <v>17.200820922851563</v>
      </c>
      <c r="K126" s="18">
        <v>16.710041046142578</v>
      </c>
    </row>
    <row r="127" spans="2:11">
      <c r="B127" s="18">
        <v>10</v>
      </c>
      <c r="C127" s="18">
        <v>7121391.5</v>
      </c>
      <c r="D127" s="19">
        <v>7076478</v>
      </c>
      <c r="E127" s="18">
        <v>7180414</v>
      </c>
      <c r="F127" s="18">
        <v>13482783</v>
      </c>
      <c r="G127" s="18">
        <v>14068915</v>
      </c>
      <c r="H127" s="18">
        <v>13678881</v>
      </c>
      <c r="I127" s="18">
        <v>17.165313720703125</v>
      </c>
      <c r="J127" s="18">
        <v>17.097436904907227</v>
      </c>
      <c r="K127" s="18">
        <v>16.632541656494141</v>
      </c>
    </row>
    <row r="128" spans="2:11">
      <c r="B128" s="18">
        <v>10</v>
      </c>
      <c r="C128" s="18">
        <v>7630978.5</v>
      </c>
      <c r="D128" s="19">
        <v>7485115</v>
      </c>
      <c r="E128" s="18">
        <v>7364539.5</v>
      </c>
      <c r="F128" s="18">
        <v>13578281</v>
      </c>
      <c r="G128" s="18">
        <v>14200425</v>
      </c>
      <c r="H128" s="18">
        <v>13208436</v>
      </c>
      <c r="I128" s="18">
        <v>16.866073608398438</v>
      </c>
      <c r="J128" s="18">
        <v>16.776132583618164</v>
      </c>
      <c r="K128" s="18">
        <v>16.153745651245117</v>
      </c>
    </row>
    <row r="129" spans="2:11">
      <c r="B129" s="18">
        <v>10</v>
      </c>
      <c r="C129" s="18">
        <v>7047706.5</v>
      </c>
      <c r="D129" s="19">
        <v>7327080</v>
      </c>
      <c r="E129" s="18">
        <v>7115597</v>
      </c>
      <c r="F129" s="18">
        <v>14158686</v>
      </c>
      <c r="G129" s="18">
        <v>13732041</v>
      </c>
      <c r="H129" s="18">
        <v>13573763</v>
      </c>
      <c r="I129" s="18">
        <v>17.790487289428711</v>
      </c>
      <c r="J129" s="18">
        <v>17.617786407470703</v>
      </c>
      <c r="K129" s="18">
        <v>17.029685974121094</v>
      </c>
    </row>
    <row r="130" spans="2:11">
      <c r="B130" s="18">
        <v>10</v>
      </c>
      <c r="C130" s="18">
        <v>7086496</v>
      </c>
      <c r="D130" s="19">
        <v>7099501.5</v>
      </c>
      <c r="E130" s="18">
        <v>7235161</v>
      </c>
      <c r="F130" s="18">
        <v>13975119</v>
      </c>
      <c r="G130" s="18">
        <v>13901520</v>
      </c>
      <c r="H130" s="18">
        <v>13572095</v>
      </c>
      <c r="I130" s="18">
        <v>17.145536422729492</v>
      </c>
      <c r="J130" s="18">
        <v>17.776773452758789</v>
      </c>
      <c r="K130" s="18">
        <v>16.800727844238281</v>
      </c>
    </row>
    <row r="131" spans="2:11">
      <c r="B131" s="18">
        <v>10</v>
      </c>
      <c r="C131" s="18">
        <v>7510855.5</v>
      </c>
      <c r="D131" s="19">
        <v>7492520.5</v>
      </c>
      <c r="E131" s="18">
        <v>7131992</v>
      </c>
      <c r="F131" s="18">
        <v>13323107</v>
      </c>
      <c r="G131" s="18">
        <v>13177238</v>
      </c>
      <c r="H131" s="18">
        <v>12746185</v>
      </c>
      <c r="I131" s="18">
        <v>16.555200576782227</v>
      </c>
      <c r="J131" s="18">
        <v>16.997203826904297</v>
      </c>
      <c r="K131" s="18">
        <v>16.442642211914063</v>
      </c>
    </row>
    <row r="132" spans="2:11">
      <c r="B132" s="18">
        <v>10</v>
      </c>
      <c r="C132" s="18">
        <v>7709622</v>
      </c>
      <c r="D132" s="19">
        <v>7768122.5</v>
      </c>
      <c r="E132" s="18">
        <v>7479938</v>
      </c>
      <c r="F132" s="18">
        <v>13726801</v>
      </c>
      <c r="G132" s="18">
        <v>14250417</v>
      </c>
      <c r="H132" s="18">
        <v>13638467</v>
      </c>
      <c r="I132" s="18">
        <v>16.981691360473633</v>
      </c>
      <c r="J132" s="18">
        <v>17.303516387939453</v>
      </c>
      <c r="K132" s="18">
        <v>16.674829483032227</v>
      </c>
    </row>
    <row r="133" spans="2:11">
      <c r="B133" s="18">
        <v>10</v>
      </c>
      <c r="C133" s="18">
        <v>8224370</v>
      </c>
      <c r="D133" s="19">
        <v>8171681</v>
      </c>
      <c r="E133" s="18">
        <v>8030304</v>
      </c>
      <c r="F133" s="18">
        <v>13775156</v>
      </c>
      <c r="G133" s="18">
        <v>13838808</v>
      </c>
      <c r="H133" s="18">
        <v>13215594</v>
      </c>
      <c r="I133" s="18">
        <v>17.282503128051758</v>
      </c>
      <c r="J133" s="18">
        <v>17.303129196166992</v>
      </c>
      <c r="K133" s="18">
        <v>16.859119415283203</v>
      </c>
    </row>
    <row r="134" spans="2:11">
      <c r="B134" s="18">
        <v>10</v>
      </c>
      <c r="C134" s="18">
        <v>7353278.5</v>
      </c>
      <c r="D134" s="19">
        <v>7331627.5</v>
      </c>
      <c r="E134" s="18">
        <v>7182386</v>
      </c>
      <c r="F134" s="18">
        <v>13871480</v>
      </c>
      <c r="G134" s="18">
        <v>14113544</v>
      </c>
      <c r="H134" s="18">
        <v>13286238</v>
      </c>
      <c r="I134" s="18">
        <v>17.710290908813477</v>
      </c>
      <c r="J134" s="18">
        <v>18.315929412841797</v>
      </c>
      <c r="K134" s="18">
        <v>17.618309020996094</v>
      </c>
    </row>
    <row r="135" spans="2:11">
      <c r="B135" s="18">
        <v>10</v>
      </c>
      <c r="C135" s="18">
        <v>7522666.5</v>
      </c>
      <c r="D135" s="19">
        <v>7557891</v>
      </c>
      <c r="E135" s="18">
        <v>7436153.5</v>
      </c>
      <c r="F135" s="18">
        <v>13464899</v>
      </c>
      <c r="G135" s="18">
        <v>13134784</v>
      </c>
      <c r="H135" s="18">
        <v>12829302</v>
      </c>
      <c r="I135" s="18">
        <v>17.119533538818359</v>
      </c>
      <c r="J135" s="18">
        <v>16.997444152832031</v>
      </c>
      <c r="K135" s="18">
        <v>16.681617736816406</v>
      </c>
    </row>
    <row r="136" spans="2:11">
      <c r="B136" s="18">
        <v>10</v>
      </c>
      <c r="C136" s="18">
        <v>7454024</v>
      </c>
      <c r="D136" s="19">
        <v>7584627.5</v>
      </c>
      <c r="E136" s="18">
        <v>7413291</v>
      </c>
      <c r="F136" s="18">
        <v>13579347</v>
      </c>
      <c r="G136" s="18">
        <v>13692834</v>
      </c>
      <c r="H136" s="18">
        <v>13176125</v>
      </c>
      <c r="I136" s="18">
        <v>16.994234085083008</v>
      </c>
      <c r="J136" s="18">
        <v>17.555889129638672</v>
      </c>
      <c r="K136" s="18">
        <v>17.056491851806641</v>
      </c>
    </row>
    <row r="137" spans="2:11">
      <c r="B137" s="18">
        <v>10</v>
      </c>
      <c r="C137" s="18">
        <v>7660388</v>
      </c>
      <c r="D137" s="19">
        <v>7522781.5</v>
      </c>
      <c r="E137" s="18">
        <v>7501918</v>
      </c>
      <c r="F137" s="18">
        <v>13579664</v>
      </c>
      <c r="G137" s="18">
        <v>13915755</v>
      </c>
      <c r="H137" s="18">
        <v>13189306</v>
      </c>
      <c r="I137" s="18">
        <v>17.215970993041992</v>
      </c>
      <c r="J137" s="18">
        <v>17.673797607421875</v>
      </c>
      <c r="K137" s="18">
        <v>16.859912872314453</v>
      </c>
    </row>
    <row r="138" spans="2:11">
      <c r="B138" s="18">
        <v>10</v>
      </c>
      <c r="C138" s="18">
        <v>7221537</v>
      </c>
      <c r="D138" s="19">
        <v>7175493</v>
      </c>
      <c r="E138" s="18">
        <v>7159279</v>
      </c>
      <c r="F138" s="18">
        <v>13417279</v>
      </c>
      <c r="G138" s="18">
        <v>13653916</v>
      </c>
      <c r="H138" s="18">
        <v>13183856</v>
      </c>
      <c r="I138" s="18">
        <v>16.654804229736328</v>
      </c>
      <c r="J138" s="18">
        <v>16.657575607299805</v>
      </c>
      <c r="K138" s="18">
        <v>16.677587509155273</v>
      </c>
    </row>
    <row r="139" spans="2:11">
      <c r="B139" s="18">
        <v>10</v>
      </c>
      <c r="C139" s="18">
        <v>7465375</v>
      </c>
      <c r="D139" s="19">
        <v>7430229</v>
      </c>
      <c r="E139" s="18">
        <v>7679665</v>
      </c>
      <c r="F139" s="18">
        <v>13511048</v>
      </c>
      <c r="G139" s="18">
        <v>13579243</v>
      </c>
      <c r="H139" s="18">
        <v>13514575</v>
      </c>
      <c r="I139" s="18">
        <v>16.705722808837891</v>
      </c>
      <c r="J139" s="18">
        <v>16.925691604614258</v>
      </c>
      <c r="K139" s="18">
        <v>16.685113906860352</v>
      </c>
    </row>
    <row r="140" spans="2:11">
      <c r="B140" s="18">
        <v>10</v>
      </c>
      <c r="C140" s="18">
        <v>7209815.5</v>
      </c>
      <c r="D140" s="19">
        <v>7259444.5</v>
      </c>
      <c r="E140" s="18">
        <v>7212863.5</v>
      </c>
      <c r="F140" s="18">
        <v>13867460</v>
      </c>
      <c r="G140" s="18">
        <v>14009204</v>
      </c>
      <c r="H140" s="18">
        <v>13447801</v>
      </c>
      <c r="I140" s="18">
        <v>17.498414993286133</v>
      </c>
      <c r="J140" s="18">
        <v>17.880325317382813</v>
      </c>
      <c r="K140" s="18">
        <v>16.793943405151367</v>
      </c>
    </row>
    <row r="141" spans="2:11">
      <c r="B141" s="18">
        <v>10</v>
      </c>
      <c r="C141" s="18">
        <v>7422294</v>
      </c>
      <c r="D141" s="19">
        <v>7372423.5</v>
      </c>
      <c r="E141" s="18">
        <v>7316306</v>
      </c>
      <c r="F141" s="18">
        <v>13540484</v>
      </c>
      <c r="G141" s="18">
        <v>14285104</v>
      </c>
      <c r="H141" s="18">
        <v>13590647</v>
      </c>
      <c r="I141" s="18">
        <v>17.142982482910156</v>
      </c>
      <c r="J141" s="18">
        <v>17.233301162719727</v>
      </c>
      <c r="K141" s="18">
        <v>16.741065979003906</v>
      </c>
    </row>
    <row r="142" spans="2:11">
      <c r="B142" s="18">
        <v>10</v>
      </c>
      <c r="C142" s="18">
        <v>7481549.5</v>
      </c>
      <c r="D142" s="19">
        <v>7483886.5</v>
      </c>
      <c r="E142" s="18">
        <v>7611425</v>
      </c>
      <c r="F142" s="18">
        <v>13971482</v>
      </c>
      <c r="G142" s="18">
        <v>13888819</v>
      </c>
      <c r="H142" s="18">
        <v>13600296</v>
      </c>
      <c r="I142" s="18">
        <v>17.710783004760742</v>
      </c>
      <c r="J142" s="18">
        <v>17.360065460205078</v>
      </c>
      <c r="K142" s="18">
        <v>17.22575569152832</v>
      </c>
    </row>
    <row r="143" spans="2:11">
      <c r="B143" s="18">
        <v>10</v>
      </c>
      <c r="C143" s="18">
        <v>7318596</v>
      </c>
      <c r="D143" s="19">
        <v>7420562</v>
      </c>
      <c r="E143" s="18">
        <v>7401145</v>
      </c>
      <c r="F143" s="18">
        <v>13298136</v>
      </c>
      <c r="G143" s="18">
        <v>13833516</v>
      </c>
      <c r="H143" s="18">
        <v>12780676</v>
      </c>
      <c r="I143" s="18">
        <v>17.060503005981445</v>
      </c>
      <c r="J143" s="18">
        <v>17.589786529541016</v>
      </c>
      <c r="K143" s="18">
        <v>16.497846603393555</v>
      </c>
    </row>
    <row r="144" spans="2:11">
      <c r="B144" s="18">
        <v>10</v>
      </c>
      <c r="C144" s="18">
        <v>7101604.5</v>
      </c>
      <c r="D144" s="19">
        <v>7176770.5</v>
      </c>
      <c r="E144" s="18">
        <v>7060603</v>
      </c>
      <c r="F144" s="18">
        <v>13376263</v>
      </c>
      <c r="G144" s="18">
        <v>13665523</v>
      </c>
      <c r="H144" s="18">
        <v>13218703</v>
      </c>
      <c r="I144" s="18">
        <v>16.824462890625</v>
      </c>
      <c r="J144" s="18">
        <v>17.211360931396484</v>
      </c>
      <c r="K144" s="18">
        <v>16.240854263305664</v>
      </c>
    </row>
    <row r="145" spans="2:11">
      <c r="B145" s="18">
        <v>10</v>
      </c>
      <c r="C145" s="18">
        <v>7258362</v>
      </c>
      <c r="D145" s="19">
        <v>7394488.5</v>
      </c>
      <c r="E145" s="18">
        <v>7266190.5</v>
      </c>
      <c r="F145" s="18">
        <v>13935407</v>
      </c>
      <c r="G145" s="18">
        <v>13881257</v>
      </c>
      <c r="H145" s="18">
        <v>13557527</v>
      </c>
      <c r="I145" s="18">
        <v>16.538829803466797</v>
      </c>
      <c r="J145" s="18">
        <v>17.172220230102539</v>
      </c>
      <c r="K145" s="18">
        <v>16.352184295654297</v>
      </c>
    </row>
    <row r="146" spans="2:11">
      <c r="B146" s="18">
        <v>10</v>
      </c>
      <c r="C146" s="18">
        <v>7717734.5</v>
      </c>
      <c r="D146" s="19">
        <v>7772876.5</v>
      </c>
      <c r="E146" s="18">
        <v>7613834</v>
      </c>
      <c r="F146" s="18">
        <v>13453506</v>
      </c>
      <c r="G146" s="18">
        <v>12929169</v>
      </c>
      <c r="H146" s="18">
        <v>12660987</v>
      </c>
      <c r="I146" s="18">
        <v>16.853641510009766</v>
      </c>
      <c r="J146" s="18">
        <v>16.963405609130859</v>
      </c>
      <c r="K146" s="18">
        <v>16.634614944458008</v>
      </c>
    </row>
    <row r="147" spans="2:11">
      <c r="B147" s="18">
        <v>10</v>
      </c>
      <c r="C147" s="18">
        <v>7532831.5</v>
      </c>
      <c r="D147" s="19">
        <v>7834763</v>
      </c>
      <c r="E147" s="18">
        <v>7495519</v>
      </c>
      <c r="F147" s="18">
        <v>14355962</v>
      </c>
      <c r="G147" s="18">
        <v>14468620</v>
      </c>
      <c r="H147" s="18">
        <v>13653744</v>
      </c>
      <c r="I147" s="18">
        <v>17.333305358886719</v>
      </c>
      <c r="J147" s="18">
        <v>17.472908020019531</v>
      </c>
      <c r="K147" s="18">
        <v>16.966567993164063</v>
      </c>
    </row>
    <row r="148" spans="2:11">
      <c r="B148" s="18">
        <v>10</v>
      </c>
      <c r="C148" s="18">
        <v>7525917</v>
      </c>
      <c r="D148" s="19">
        <v>7582496.5</v>
      </c>
      <c r="E148" s="18">
        <v>7644132.5</v>
      </c>
      <c r="F148" s="18">
        <v>13502773</v>
      </c>
      <c r="G148" s="18">
        <v>13575350</v>
      </c>
      <c r="H148" s="18">
        <v>13434453</v>
      </c>
      <c r="I148" s="18">
        <v>16.963571548461914</v>
      </c>
      <c r="J148" s="18">
        <v>17.342826843261719</v>
      </c>
      <c r="K148" s="18">
        <v>16.872810363769531</v>
      </c>
    </row>
    <row r="149" spans="2:11">
      <c r="B149" s="18">
        <v>10</v>
      </c>
      <c r="C149" s="18">
        <v>7395124.5</v>
      </c>
      <c r="D149" s="19">
        <v>7575570</v>
      </c>
      <c r="E149" s="18">
        <v>7593415</v>
      </c>
      <c r="F149" s="18">
        <v>13390196</v>
      </c>
      <c r="G149" s="18">
        <v>13597292</v>
      </c>
      <c r="H149" s="18">
        <v>12895814</v>
      </c>
      <c r="I149" s="18">
        <v>16.731958389282227</v>
      </c>
      <c r="J149" s="18">
        <v>17.109443664550781</v>
      </c>
      <c r="K149" s="18">
        <v>16.820404052734375</v>
      </c>
    </row>
    <row r="150" spans="2:11">
      <c r="B150" s="18">
        <v>10</v>
      </c>
      <c r="C150" s="18">
        <v>7444300</v>
      </c>
      <c r="D150" s="19">
        <v>7747506.5</v>
      </c>
      <c r="E150" s="18">
        <v>7615146</v>
      </c>
      <c r="F150" s="18">
        <v>13416264</v>
      </c>
      <c r="G150" s="18">
        <v>13441851</v>
      </c>
      <c r="H150" s="18">
        <v>13305682</v>
      </c>
      <c r="I150" s="18">
        <v>16.543439865112305</v>
      </c>
      <c r="J150" s="18">
        <v>16.883964538574219</v>
      </c>
      <c r="K150" s="18">
        <v>16.511087417602539</v>
      </c>
    </row>
    <row r="151" spans="2:11">
      <c r="B151" s="18">
        <v>10</v>
      </c>
      <c r="C151" s="18">
        <v>7705270.5</v>
      </c>
      <c r="D151" s="19">
        <v>7893994.5</v>
      </c>
      <c r="E151" s="18">
        <v>7779777</v>
      </c>
      <c r="F151" s="18">
        <v>13713005</v>
      </c>
      <c r="G151" s="18">
        <v>13671742</v>
      </c>
      <c r="H151" s="18">
        <v>13533559</v>
      </c>
      <c r="I151" s="18">
        <v>16.502643585205078</v>
      </c>
      <c r="J151" s="18">
        <v>16.824579238891602</v>
      </c>
      <c r="K151" s="18">
        <v>16.740671157836914</v>
      </c>
    </row>
    <row r="152" spans="2:11">
      <c r="B152" s="18">
        <v>12</v>
      </c>
      <c r="C152" s="18">
        <v>7704790.5</v>
      </c>
      <c r="D152" s="19">
        <v>7803776</v>
      </c>
      <c r="E152" s="18">
        <v>7831415.5</v>
      </c>
      <c r="F152" s="18">
        <v>13259255</v>
      </c>
      <c r="G152" s="18">
        <v>13167149</v>
      </c>
      <c r="H152" s="18">
        <v>13171865</v>
      </c>
      <c r="I152" s="18">
        <v>16.339969635009766</v>
      </c>
      <c r="J152" s="18">
        <v>16.306402206420898</v>
      </c>
      <c r="K152" s="18">
        <v>16.450035095214844</v>
      </c>
    </row>
    <row r="153" spans="2:11">
      <c r="B153" s="18">
        <v>12</v>
      </c>
      <c r="C153" s="18">
        <v>7346182.5</v>
      </c>
      <c r="D153" s="19">
        <v>7423650.5</v>
      </c>
      <c r="E153" s="18">
        <v>7312109</v>
      </c>
      <c r="F153" s="18">
        <v>13184223</v>
      </c>
      <c r="G153" s="18">
        <v>13006869</v>
      </c>
      <c r="H153" s="18">
        <v>13117190</v>
      </c>
      <c r="I153" s="18">
        <v>15.966521263122559</v>
      </c>
      <c r="J153" s="18">
        <v>15.93742847442627</v>
      </c>
      <c r="K153" s="18">
        <v>15.308499336242676</v>
      </c>
    </row>
    <row r="154" spans="2:11">
      <c r="B154" s="18">
        <v>12</v>
      </c>
      <c r="C154" s="18">
        <v>7871918</v>
      </c>
      <c r="D154" s="19">
        <v>7695326.5</v>
      </c>
      <c r="E154" s="18">
        <v>7583894</v>
      </c>
      <c r="F154" s="18">
        <v>13141963</v>
      </c>
      <c r="G154" s="18">
        <v>13398803</v>
      </c>
      <c r="H154" s="18">
        <v>12660481</v>
      </c>
      <c r="I154" s="18">
        <v>15.902288436889648</v>
      </c>
      <c r="J154" s="18">
        <v>16.397811889648438</v>
      </c>
      <c r="K154" s="18">
        <v>15.162633895874023</v>
      </c>
    </row>
    <row r="155" spans="2:11">
      <c r="B155" s="18">
        <v>12</v>
      </c>
      <c r="C155" s="18">
        <v>7990608.5</v>
      </c>
      <c r="D155" s="19">
        <v>7738689.5</v>
      </c>
      <c r="E155" s="18">
        <v>7963094</v>
      </c>
      <c r="F155" s="18">
        <v>13135808</v>
      </c>
      <c r="G155" s="18">
        <v>13684563</v>
      </c>
      <c r="H155" s="18">
        <v>13188490</v>
      </c>
      <c r="I155" s="18">
        <v>16.144491195678711</v>
      </c>
      <c r="J155" s="18">
        <v>16.734657287597656</v>
      </c>
      <c r="K155" s="18">
        <v>15.902919769287109</v>
      </c>
    </row>
    <row r="156" spans="2:11">
      <c r="B156" s="18">
        <v>12</v>
      </c>
      <c r="C156" s="18">
        <v>7470354.5</v>
      </c>
      <c r="D156" s="19">
        <v>7304780.5</v>
      </c>
      <c r="E156" s="18">
        <v>7376726</v>
      </c>
      <c r="F156" s="18">
        <v>13874835</v>
      </c>
      <c r="G156" s="18">
        <v>13253399</v>
      </c>
      <c r="H156" s="18">
        <v>13292778</v>
      </c>
      <c r="I156" s="18">
        <v>16.353219985961914</v>
      </c>
      <c r="J156" s="18">
        <v>16.002317428588867</v>
      </c>
      <c r="K156" s="18">
        <v>15.756672859191895</v>
      </c>
    </row>
    <row r="157" spans="2:11">
      <c r="B157" s="18">
        <v>12</v>
      </c>
      <c r="C157" s="18">
        <v>7430697.5</v>
      </c>
      <c r="D157" s="19">
        <v>7380699</v>
      </c>
      <c r="E157" s="18">
        <v>7409089.5</v>
      </c>
      <c r="F157" s="18">
        <v>12685523</v>
      </c>
      <c r="G157" s="18">
        <v>12791697</v>
      </c>
      <c r="H157" s="18">
        <v>12643976</v>
      </c>
      <c r="I157" s="18">
        <v>15.664704322814941</v>
      </c>
      <c r="J157" s="18">
        <v>16.193584442138672</v>
      </c>
      <c r="K157" s="18">
        <v>15.107943534851074</v>
      </c>
    </row>
    <row r="158" spans="2:11">
      <c r="B158" s="18">
        <v>12</v>
      </c>
      <c r="C158" s="18">
        <v>7822662</v>
      </c>
      <c r="D158" s="19">
        <v>7512064</v>
      </c>
      <c r="E158" s="18">
        <v>7458277</v>
      </c>
      <c r="F158" s="18">
        <v>12740097</v>
      </c>
      <c r="G158" s="18">
        <v>13610014</v>
      </c>
      <c r="H158" s="18">
        <v>13293352</v>
      </c>
      <c r="I158" s="18">
        <v>16.573337554931641</v>
      </c>
      <c r="J158" s="18">
        <v>16.500751495361328</v>
      </c>
      <c r="K158" s="18">
        <v>16.150077819824219</v>
      </c>
    </row>
    <row r="159" spans="2:11">
      <c r="B159" s="18">
        <v>12</v>
      </c>
      <c r="C159" s="18">
        <v>7333599.5</v>
      </c>
      <c r="D159" s="19">
        <v>7599990</v>
      </c>
      <c r="E159" s="18">
        <v>7477626.5</v>
      </c>
      <c r="F159" s="18">
        <v>13333915</v>
      </c>
      <c r="G159" s="18">
        <v>13592626</v>
      </c>
      <c r="H159" s="18">
        <v>13400035</v>
      </c>
      <c r="I159" s="18">
        <v>16.358798980712891</v>
      </c>
      <c r="J159" s="18">
        <v>16.270889282226563</v>
      </c>
      <c r="K159" s="18">
        <v>15.648704528808594</v>
      </c>
    </row>
    <row r="160" spans="2:11">
      <c r="B160" s="18">
        <v>12</v>
      </c>
      <c r="C160" s="18">
        <v>7376865.5</v>
      </c>
      <c r="D160" s="19">
        <v>7271982</v>
      </c>
      <c r="E160" s="18">
        <v>7094111.5</v>
      </c>
      <c r="F160" s="18">
        <v>13944832</v>
      </c>
      <c r="G160" s="18">
        <v>13761339</v>
      </c>
      <c r="H160" s="18">
        <v>13651290</v>
      </c>
      <c r="I160" s="18">
        <v>17.483207702636719</v>
      </c>
      <c r="J160" s="18">
        <v>17.613492965698242</v>
      </c>
      <c r="K160" s="18">
        <v>16.829658508300781</v>
      </c>
    </row>
    <row r="161" spans="2:11">
      <c r="B161" s="18">
        <v>12</v>
      </c>
      <c r="C161" s="18">
        <v>7464609</v>
      </c>
      <c r="D161" s="19">
        <v>7637381</v>
      </c>
      <c r="E161" s="18">
        <v>7119203.5</v>
      </c>
      <c r="F161" s="18">
        <v>13227101</v>
      </c>
      <c r="G161" s="18">
        <v>13147123</v>
      </c>
      <c r="H161" s="18">
        <v>12925567</v>
      </c>
      <c r="I161" s="18">
        <v>16.555883407592773</v>
      </c>
      <c r="J161" s="18">
        <v>16.515966415405273</v>
      </c>
      <c r="K161" s="18">
        <v>15.644784927368164</v>
      </c>
    </row>
    <row r="162" spans="2:11">
      <c r="B162" s="18">
        <v>12</v>
      </c>
      <c r="C162" s="18">
        <v>7564337</v>
      </c>
      <c r="D162" s="19">
        <v>7555106</v>
      </c>
      <c r="E162" s="18">
        <v>7457442</v>
      </c>
      <c r="F162" s="18">
        <v>13201506</v>
      </c>
      <c r="G162" s="18">
        <v>13192876</v>
      </c>
      <c r="H162" s="18">
        <v>13263113</v>
      </c>
      <c r="I162" s="18">
        <v>16.526168823242188</v>
      </c>
      <c r="J162" s="18">
        <v>16.398588180541992</v>
      </c>
      <c r="K162" s="18">
        <v>16.153423309326172</v>
      </c>
    </row>
    <row r="163" spans="2:11">
      <c r="B163" s="18">
        <v>12</v>
      </c>
      <c r="C163" s="18">
        <v>7669499</v>
      </c>
      <c r="D163" s="19">
        <v>7470065</v>
      </c>
      <c r="E163" s="18">
        <v>7609296.5</v>
      </c>
      <c r="F163" s="18">
        <v>13348252</v>
      </c>
      <c r="G163" s="18">
        <v>13116365</v>
      </c>
      <c r="H163" s="18">
        <v>12980829</v>
      </c>
      <c r="I163" s="18">
        <v>16.310007095336914</v>
      </c>
      <c r="J163" s="18">
        <v>16.090217590332031</v>
      </c>
      <c r="K163" s="18">
        <v>15.879590034484863</v>
      </c>
    </row>
    <row r="164" spans="2:11">
      <c r="B164" s="18">
        <v>12</v>
      </c>
      <c r="C164" s="18">
        <v>7789374</v>
      </c>
      <c r="D164" s="19">
        <v>7661563</v>
      </c>
      <c r="E164" s="18">
        <v>7769867.5</v>
      </c>
      <c r="F164" s="18">
        <v>13091534</v>
      </c>
      <c r="G164" s="18">
        <v>13386439</v>
      </c>
      <c r="H164" s="18">
        <v>12498887</v>
      </c>
      <c r="I164" s="18">
        <v>16.441066741943359</v>
      </c>
      <c r="J164" s="18">
        <v>17.447946548461914</v>
      </c>
      <c r="K164" s="18">
        <v>16.567609786987305</v>
      </c>
    </row>
    <row r="165" spans="2:11">
      <c r="B165" s="18">
        <v>12</v>
      </c>
      <c r="C165" s="18">
        <v>7509149</v>
      </c>
      <c r="D165" s="19">
        <v>7980983.5</v>
      </c>
      <c r="E165" s="18">
        <v>7770005.5</v>
      </c>
      <c r="F165" s="18">
        <v>12999901</v>
      </c>
      <c r="G165" s="18">
        <v>13983606</v>
      </c>
      <c r="H165" s="18">
        <v>12455942</v>
      </c>
      <c r="I165" s="18">
        <v>16.051530838012695</v>
      </c>
      <c r="J165" s="18">
        <v>15.690413475036621</v>
      </c>
      <c r="K165" s="18">
        <v>15.358802795410156</v>
      </c>
    </row>
    <row r="166" spans="2:11">
      <c r="B166" s="18">
        <v>12</v>
      </c>
      <c r="C166" s="18">
        <v>7690992</v>
      </c>
      <c r="D166" s="19">
        <v>7423376.5</v>
      </c>
      <c r="E166" s="18">
        <v>7353008.5</v>
      </c>
      <c r="F166" s="18">
        <v>13295843</v>
      </c>
      <c r="G166" s="18">
        <v>13544734</v>
      </c>
      <c r="H166" s="18">
        <v>13356490</v>
      </c>
      <c r="I166" s="18">
        <v>16.552661895751953</v>
      </c>
      <c r="J166" s="18">
        <v>16.705699920654297</v>
      </c>
      <c r="K166" s="18">
        <v>16.678417205810547</v>
      </c>
    </row>
    <row r="167" spans="2:11">
      <c r="B167" s="18">
        <v>12</v>
      </c>
      <c r="C167" s="18">
        <v>7655780</v>
      </c>
      <c r="D167" s="19">
        <v>7997423.5</v>
      </c>
      <c r="E167" s="18">
        <v>7539523</v>
      </c>
      <c r="F167" s="18">
        <v>12280095</v>
      </c>
      <c r="G167" s="18">
        <v>12520357</v>
      </c>
      <c r="H167" s="18">
        <v>12112641</v>
      </c>
      <c r="I167" s="18">
        <v>15.602725028991699</v>
      </c>
      <c r="J167" s="18">
        <v>15.434748649597168</v>
      </c>
      <c r="K167" s="18">
        <v>14.919039726257324</v>
      </c>
    </row>
    <row r="168" spans="2:11">
      <c r="B168" s="18">
        <v>12</v>
      </c>
      <c r="C168" s="18">
        <v>7906366.5</v>
      </c>
      <c r="D168" s="19">
        <v>7706255.5</v>
      </c>
      <c r="E168" s="18">
        <v>7874925.5</v>
      </c>
      <c r="F168" s="18">
        <v>13457795</v>
      </c>
      <c r="G168" s="18">
        <v>13294072</v>
      </c>
      <c r="H168" s="18">
        <v>12305495</v>
      </c>
      <c r="I168" s="18">
        <v>16.322698593139648</v>
      </c>
      <c r="J168" s="18">
        <v>16.77427864074707</v>
      </c>
      <c r="K168" s="18">
        <v>15.667698860168457</v>
      </c>
    </row>
    <row r="169" spans="2:11">
      <c r="B169" s="18">
        <v>12</v>
      </c>
      <c r="C169" s="18">
        <v>7828607.5</v>
      </c>
      <c r="D169" s="19">
        <v>7829227</v>
      </c>
      <c r="E169" s="18">
        <v>7926749.5</v>
      </c>
      <c r="F169" s="18">
        <v>12326826</v>
      </c>
      <c r="G169" s="18">
        <v>13949394</v>
      </c>
      <c r="H169" s="18">
        <v>13042867</v>
      </c>
      <c r="I169" s="18">
        <v>15.379377365112305</v>
      </c>
      <c r="J169" s="18">
        <v>16.217296600341797</v>
      </c>
      <c r="K169" s="18">
        <v>15.364828109741211</v>
      </c>
    </row>
    <row r="170" spans="2:11">
      <c r="B170" s="18">
        <v>12</v>
      </c>
      <c r="C170" s="18">
        <v>7929518</v>
      </c>
      <c r="D170" s="19">
        <v>7471461</v>
      </c>
      <c r="E170" s="18">
        <v>7580552</v>
      </c>
      <c r="F170" s="18">
        <v>13770760</v>
      </c>
      <c r="G170" s="18">
        <v>13257550</v>
      </c>
      <c r="H170" s="18">
        <v>13395242</v>
      </c>
      <c r="I170" s="18">
        <v>16.321182250976563</v>
      </c>
      <c r="J170" s="18">
        <v>15.80492115020752</v>
      </c>
      <c r="K170" s="18">
        <v>15.826946258544922</v>
      </c>
    </row>
    <row r="171" spans="2:11">
      <c r="B171" s="18">
        <v>12</v>
      </c>
      <c r="C171" s="18">
        <v>7291595</v>
      </c>
      <c r="D171" s="19">
        <v>7238940</v>
      </c>
      <c r="E171" s="18">
        <v>7102294.5</v>
      </c>
      <c r="F171" s="18">
        <v>12492268</v>
      </c>
      <c r="G171" s="18">
        <v>13018929</v>
      </c>
      <c r="H171" s="18">
        <v>12403388</v>
      </c>
      <c r="I171" s="18">
        <v>15.845763206481934</v>
      </c>
      <c r="J171" s="18">
        <v>16.710329055786133</v>
      </c>
      <c r="K171" s="18">
        <v>16.027385711669922</v>
      </c>
    </row>
    <row r="172" spans="2:11">
      <c r="B172" s="18">
        <v>12</v>
      </c>
      <c r="C172" s="18">
        <v>7920752</v>
      </c>
      <c r="D172" s="19">
        <v>7470023</v>
      </c>
      <c r="E172" s="18">
        <v>7603897.5</v>
      </c>
      <c r="F172" s="18">
        <v>13481324</v>
      </c>
      <c r="G172" s="18">
        <v>12812484</v>
      </c>
      <c r="H172" s="18">
        <v>12553764</v>
      </c>
      <c r="I172" s="18">
        <v>16.542394638061523</v>
      </c>
      <c r="J172" s="18">
        <v>15.854916572570801</v>
      </c>
      <c r="K172" s="18">
        <v>15.43595027923584</v>
      </c>
    </row>
    <row r="173" spans="2:11">
      <c r="B173" s="18">
        <v>12</v>
      </c>
      <c r="C173" s="18">
        <v>7506313</v>
      </c>
      <c r="D173" s="19">
        <v>7673068</v>
      </c>
      <c r="E173" s="18">
        <v>7359881</v>
      </c>
      <c r="F173" s="18">
        <v>12721829</v>
      </c>
      <c r="G173" s="18">
        <v>13277457</v>
      </c>
      <c r="H173" s="18">
        <v>12471107</v>
      </c>
      <c r="I173" s="18">
        <v>15.984286308288574</v>
      </c>
      <c r="J173" s="18">
        <v>16.502368927001953</v>
      </c>
      <c r="K173" s="18">
        <v>15.441363334655762</v>
      </c>
    </row>
    <row r="174" spans="2:11">
      <c r="B174" s="18">
        <v>12</v>
      </c>
      <c r="C174" s="18">
        <v>7822570</v>
      </c>
      <c r="D174" s="19">
        <v>8110005.5</v>
      </c>
      <c r="E174" s="18">
        <v>7666208.5</v>
      </c>
      <c r="F174" s="18">
        <v>13510375</v>
      </c>
      <c r="G174" s="18">
        <v>13790116</v>
      </c>
      <c r="H174" s="18">
        <v>13008642</v>
      </c>
      <c r="I174" s="18">
        <v>17.059852600097656</v>
      </c>
      <c r="J174" s="18">
        <v>17.054437637329102</v>
      </c>
      <c r="K174" s="18">
        <v>16.292560577392578</v>
      </c>
    </row>
    <row r="175" spans="2:11">
      <c r="B175" s="18">
        <v>12</v>
      </c>
      <c r="C175" s="18">
        <v>7632046</v>
      </c>
      <c r="D175" s="19">
        <v>7695572.5</v>
      </c>
      <c r="E175" s="18">
        <v>7654949</v>
      </c>
      <c r="F175" s="18">
        <v>13989270</v>
      </c>
      <c r="G175" s="18">
        <v>15034820</v>
      </c>
      <c r="H175" s="18">
        <v>13758350</v>
      </c>
      <c r="I175" s="18">
        <v>17.56553840637207</v>
      </c>
      <c r="J175" s="18">
        <v>17.713069915771484</v>
      </c>
      <c r="K175" s="18">
        <v>17.187582015991211</v>
      </c>
    </row>
    <row r="176" spans="2:11">
      <c r="B176" s="18">
        <v>12</v>
      </c>
      <c r="C176" s="18">
        <v>7454297.5</v>
      </c>
      <c r="D176" s="19">
        <v>7594363.5</v>
      </c>
      <c r="E176" s="18">
        <v>7466715.5</v>
      </c>
      <c r="F176" s="18">
        <v>12811433</v>
      </c>
      <c r="G176" s="18">
        <v>12659142</v>
      </c>
      <c r="H176" s="18">
        <v>12691215</v>
      </c>
      <c r="I176" s="18">
        <v>16.030097961425781</v>
      </c>
      <c r="J176" s="18">
        <v>16.011772155761719</v>
      </c>
      <c r="K176" s="18">
        <v>15.329861640930176</v>
      </c>
    </row>
    <row r="177" spans="2:11">
      <c r="B177" s="18">
        <v>12</v>
      </c>
      <c r="C177" s="18">
        <v>7484962.5</v>
      </c>
      <c r="D177" s="19">
        <v>7605942.5</v>
      </c>
      <c r="E177" s="18">
        <v>7478021.5</v>
      </c>
      <c r="F177" s="18">
        <v>13820491</v>
      </c>
      <c r="G177" s="18">
        <v>14121445</v>
      </c>
      <c r="H177" s="18">
        <v>13621888</v>
      </c>
      <c r="I177" s="18">
        <v>17.684995651245117</v>
      </c>
      <c r="J177" s="18">
        <v>17.412628173828125</v>
      </c>
      <c r="K177" s="18">
        <v>16.586719512939453</v>
      </c>
    </row>
    <row r="178" spans="2:11">
      <c r="B178" s="18">
        <v>12</v>
      </c>
      <c r="C178" s="18">
        <v>7489855.5</v>
      </c>
      <c r="D178" s="19">
        <v>7561987</v>
      </c>
      <c r="E178" s="18">
        <v>7542300.5</v>
      </c>
      <c r="F178" s="18">
        <v>12920160</v>
      </c>
      <c r="G178" s="18">
        <v>12676168</v>
      </c>
      <c r="H178" s="18">
        <v>12871598</v>
      </c>
      <c r="I178" s="18">
        <v>16.924320220947266</v>
      </c>
      <c r="J178" s="18">
        <v>16.275516510009766</v>
      </c>
      <c r="K178" s="18">
        <v>16.574962615966797</v>
      </c>
    </row>
    <row r="179" spans="2:11">
      <c r="B179" s="18">
        <v>12</v>
      </c>
      <c r="C179" s="19">
        <v>7677711</v>
      </c>
      <c r="D179" s="18">
        <v>7723923</v>
      </c>
      <c r="E179" s="18">
        <v>7630275.5</v>
      </c>
      <c r="F179" s="18">
        <v>13901990</v>
      </c>
      <c r="G179" s="18">
        <v>14266257</v>
      </c>
      <c r="H179" s="18">
        <v>14150972</v>
      </c>
      <c r="I179" s="18">
        <v>18.10212516784668</v>
      </c>
      <c r="J179" s="18">
        <v>18.072202682495117</v>
      </c>
      <c r="K179" s="18">
        <v>17.373411178588867</v>
      </c>
    </row>
    <row r="180" spans="2:11">
      <c r="B180" s="18">
        <v>12</v>
      </c>
      <c r="C180" s="19">
        <v>7994539.5</v>
      </c>
      <c r="D180" s="18">
        <v>8088281</v>
      </c>
      <c r="E180" s="18">
        <v>7915318.5</v>
      </c>
      <c r="F180" s="18">
        <v>14211393</v>
      </c>
      <c r="G180" s="18">
        <v>14474132</v>
      </c>
      <c r="H180" s="18">
        <v>13530961</v>
      </c>
      <c r="I180" s="18">
        <v>17.763652801513672</v>
      </c>
      <c r="J180" s="18">
        <v>18.844717025756836</v>
      </c>
      <c r="K180" s="18">
        <v>17.041032791137695</v>
      </c>
    </row>
    <row r="181" spans="2:11">
      <c r="B181" s="18">
        <v>12</v>
      </c>
      <c r="C181" s="19">
        <v>7561288</v>
      </c>
      <c r="D181" s="18">
        <v>7394366.5</v>
      </c>
      <c r="E181" s="18">
        <v>7358884.5</v>
      </c>
      <c r="F181" s="18">
        <v>13532976</v>
      </c>
      <c r="G181" s="18">
        <v>13165785</v>
      </c>
      <c r="H181" s="18">
        <v>12881889</v>
      </c>
      <c r="I181" s="18">
        <v>16.251022338867188</v>
      </c>
      <c r="J181" s="18">
        <v>16.441385269165039</v>
      </c>
      <c r="K181" s="18">
        <v>15.953731536865234</v>
      </c>
    </row>
    <row r="182" spans="2:11">
      <c r="B182" s="18">
        <v>12</v>
      </c>
      <c r="C182" s="19">
        <v>7659271</v>
      </c>
      <c r="D182" s="18">
        <v>7702286.5</v>
      </c>
      <c r="E182" s="18">
        <v>7721820</v>
      </c>
      <c r="F182" s="18">
        <v>13341857</v>
      </c>
      <c r="G182" s="18">
        <v>13464292</v>
      </c>
      <c r="H182" s="18">
        <v>13456981</v>
      </c>
      <c r="I182" s="18">
        <v>17.178981781005859</v>
      </c>
      <c r="J182" s="18">
        <v>16.539323806762695</v>
      </c>
      <c r="K182" s="18">
        <v>16.741418838500977</v>
      </c>
    </row>
    <row r="183" spans="2:11">
      <c r="B183" s="18">
        <v>12</v>
      </c>
      <c r="C183" s="19">
        <v>7673275</v>
      </c>
      <c r="D183" s="18">
        <v>7516764</v>
      </c>
      <c r="E183" s="18">
        <v>7364536</v>
      </c>
      <c r="F183" s="18">
        <v>14321803</v>
      </c>
      <c r="G183" s="18">
        <v>14303137</v>
      </c>
      <c r="H183" s="18">
        <v>12819143</v>
      </c>
      <c r="I183" s="18">
        <v>16.531049728393555</v>
      </c>
      <c r="J183" s="18">
        <v>17.18211555480957</v>
      </c>
      <c r="K183" s="18">
        <v>15.634222030639648</v>
      </c>
    </row>
    <row r="184" spans="2:11">
      <c r="B184" s="18">
        <v>12</v>
      </c>
      <c r="C184" s="19">
        <v>7812434</v>
      </c>
      <c r="D184" s="18">
        <v>7863329.5</v>
      </c>
      <c r="E184" s="18">
        <v>7925969.5</v>
      </c>
      <c r="F184" s="18">
        <v>13216447</v>
      </c>
      <c r="G184" s="18">
        <v>13480195</v>
      </c>
      <c r="H184" s="18">
        <v>12870172</v>
      </c>
      <c r="I184" s="18">
        <v>16.33677864074707</v>
      </c>
      <c r="J184" s="18">
        <v>16.933576583862305</v>
      </c>
      <c r="K184" s="18">
        <v>16.70189094543457</v>
      </c>
    </row>
    <row r="185" spans="2:11">
      <c r="B185" s="18">
        <v>12</v>
      </c>
      <c r="C185" s="19">
        <v>7763629</v>
      </c>
      <c r="D185" s="18">
        <v>7906857</v>
      </c>
      <c r="E185" s="18">
        <v>7754036.5</v>
      </c>
      <c r="F185" s="18">
        <v>13254094</v>
      </c>
      <c r="G185" s="18">
        <v>12776446</v>
      </c>
      <c r="H185" s="18">
        <v>13313447</v>
      </c>
      <c r="I185" s="18">
        <v>15.810946464538574</v>
      </c>
      <c r="J185" s="18">
        <v>15.711434364318848</v>
      </c>
      <c r="K185" s="18">
        <v>15.155302047729492</v>
      </c>
    </row>
    <row r="186" spans="2:11">
      <c r="B186" s="18">
        <v>12</v>
      </c>
      <c r="C186" s="19">
        <v>7535753.5</v>
      </c>
      <c r="D186" s="18">
        <v>7406692</v>
      </c>
      <c r="E186" s="18">
        <v>7423765.5</v>
      </c>
      <c r="F186" s="18">
        <v>12818169</v>
      </c>
      <c r="G186" s="18">
        <v>13482442</v>
      </c>
      <c r="H186" s="18">
        <v>12535238</v>
      </c>
      <c r="I186" s="18">
        <v>16.106225967407227</v>
      </c>
      <c r="J186" s="18">
        <v>16.168838500976563</v>
      </c>
      <c r="K186" s="18">
        <v>15.461629867553711</v>
      </c>
    </row>
    <row r="187" spans="2:11">
      <c r="B187" s="18">
        <v>12</v>
      </c>
      <c r="C187" s="19">
        <v>8007426.5</v>
      </c>
      <c r="D187" s="18">
        <v>7676842.5</v>
      </c>
      <c r="E187" s="18">
        <v>7660858.5</v>
      </c>
      <c r="F187" s="18">
        <v>12799064</v>
      </c>
      <c r="G187" s="18">
        <v>13022605</v>
      </c>
      <c r="H187" s="18">
        <v>12266433</v>
      </c>
      <c r="I187" s="18">
        <v>16.272918701171875</v>
      </c>
      <c r="J187" s="18">
        <v>16.349237442016602</v>
      </c>
      <c r="K187" s="18">
        <v>15.371877670288086</v>
      </c>
    </row>
    <row r="188" spans="2:11">
      <c r="B188" s="18">
        <v>12</v>
      </c>
      <c r="C188" s="19">
        <v>7507105</v>
      </c>
      <c r="D188" s="18">
        <v>7594034</v>
      </c>
      <c r="E188" s="18">
        <v>7225427.5</v>
      </c>
      <c r="F188" s="18">
        <v>12478291</v>
      </c>
      <c r="G188" s="18">
        <v>12586363</v>
      </c>
      <c r="H188" s="18">
        <v>11955867</v>
      </c>
      <c r="I188" s="18">
        <v>15.77686595916748</v>
      </c>
      <c r="J188" s="18">
        <v>15.91607666015625</v>
      </c>
      <c r="K188" s="18">
        <v>15.152395248413086</v>
      </c>
    </row>
    <row r="189" spans="2:11">
      <c r="B189" s="18">
        <v>12</v>
      </c>
      <c r="C189" s="19">
        <v>8309556.5</v>
      </c>
      <c r="D189" s="18">
        <v>8217468.5</v>
      </c>
      <c r="E189" s="18">
        <v>7855226.5</v>
      </c>
      <c r="F189" s="18">
        <v>13793177</v>
      </c>
      <c r="G189" s="18">
        <v>13643251</v>
      </c>
      <c r="H189" s="18">
        <v>13398262</v>
      </c>
      <c r="I189" s="18">
        <v>17.117164611816406</v>
      </c>
      <c r="J189" s="18">
        <v>16.692333221435547</v>
      </c>
      <c r="K189" s="18">
        <v>16.017396926879883</v>
      </c>
    </row>
    <row r="190" spans="2:11">
      <c r="B190" s="18">
        <v>12</v>
      </c>
      <c r="C190" s="19">
        <v>7672792</v>
      </c>
      <c r="D190" s="18">
        <v>7715051</v>
      </c>
      <c r="E190" s="18">
        <v>7421219.5</v>
      </c>
      <c r="F190" s="18">
        <v>12898433</v>
      </c>
      <c r="G190" s="18">
        <v>13210410</v>
      </c>
      <c r="H190" s="18">
        <v>12703400</v>
      </c>
      <c r="I190" s="18">
        <v>17.093143463134766</v>
      </c>
      <c r="J190" s="18">
        <v>16.970558166503906</v>
      </c>
      <c r="K190" s="18">
        <v>16.389062881469727</v>
      </c>
    </row>
    <row r="191" spans="2:11">
      <c r="B191" s="18">
        <v>12</v>
      </c>
      <c r="C191" s="19">
        <v>7503761</v>
      </c>
      <c r="D191" s="18">
        <v>7694259</v>
      </c>
      <c r="E191" s="18">
        <v>7517762.5</v>
      </c>
      <c r="F191" s="18">
        <v>14453948</v>
      </c>
      <c r="G191" s="18">
        <v>14113199</v>
      </c>
      <c r="H191" s="18">
        <v>13315851</v>
      </c>
      <c r="I191" s="18">
        <v>17.735492706298828</v>
      </c>
      <c r="J191" s="18">
        <v>17.195806503295898</v>
      </c>
      <c r="K191" s="18">
        <v>16.003061294555664</v>
      </c>
    </row>
    <row r="192" spans="2:11">
      <c r="B192" s="18">
        <v>12</v>
      </c>
      <c r="C192" s="19">
        <v>7611285</v>
      </c>
      <c r="D192" s="18">
        <v>7663627</v>
      </c>
      <c r="E192" s="18">
        <v>7553712.5</v>
      </c>
      <c r="F192" s="18">
        <v>13488882</v>
      </c>
      <c r="G192" s="18">
        <v>13281170</v>
      </c>
      <c r="H192" s="18">
        <v>12823823</v>
      </c>
      <c r="I192" s="18">
        <v>15.934572219848633</v>
      </c>
      <c r="J192" s="18">
        <v>16.21989631652832</v>
      </c>
      <c r="K192" s="18">
        <v>15.755038261413574</v>
      </c>
    </row>
    <row r="193" spans="2:11">
      <c r="B193" s="18">
        <v>12</v>
      </c>
      <c r="C193" s="19">
        <v>7668950.5</v>
      </c>
      <c r="D193" s="18">
        <v>7810480</v>
      </c>
      <c r="E193" s="18">
        <v>7443340</v>
      </c>
      <c r="F193" s="18">
        <v>13426359</v>
      </c>
      <c r="G193" s="18">
        <v>13512658</v>
      </c>
      <c r="H193" s="18">
        <v>13439472</v>
      </c>
      <c r="I193" s="18">
        <v>16.252786636352539</v>
      </c>
      <c r="J193" s="18">
        <v>16.455514907836914</v>
      </c>
      <c r="K193" s="18">
        <v>15.375527381896973</v>
      </c>
    </row>
    <row r="194" spans="2:11">
      <c r="B194" s="18">
        <v>12</v>
      </c>
      <c r="C194" s="19">
        <v>8428659</v>
      </c>
      <c r="D194" s="18">
        <v>8240744.5</v>
      </c>
      <c r="E194" s="18">
        <v>8122560</v>
      </c>
      <c r="F194" s="18">
        <v>13138997</v>
      </c>
      <c r="G194" s="18">
        <v>14176802</v>
      </c>
      <c r="H194" s="18">
        <v>13269250</v>
      </c>
      <c r="I194" s="18">
        <v>15.70005989074707</v>
      </c>
      <c r="J194" s="18">
        <v>17.147943496704102</v>
      </c>
      <c r="K194" s="18">
        <v>16.441240310668945</v>
      </c>
    </row>
    <row r="195" spans="2:11">
      <c r="B195" s="18">
        <v>12</v>
      </c>
      <c r="C195" s="19">
        <v>7628252.5</v>
      </c>
      <c r="D195" s="18">
        <v>7842030.5</v>
      </c>
      <c r="E195" s="18">
        <v>7529875.5</v>
      </c>
      <c r="F195" s="18">
        <v>13381394</v>
      </c>
      <c r="G195" s="18">
        <v>13451966</v>
      </c>
      <c r="H195" s="18">
        <v>12946023</v>
      </c>
      <c r="I195" s="18">
        <v>16.404050827026367</v>
      </c>
      <c r="J195" s="18">
        <v>16.011632919311523</v>
      </c>
      <c r="K195" s="18">
        <v>15.429539680480957</v>
      </c>
    </row>
    <row r="196" spans="2:11">
      <c r="B196" s="18">
        <v>12</v>
      </c>
      <c r="C196" s="19">
        <v>7196141</v>
      </c>
      <c r="D196" s="18">
        <v>7374726.5</v>
      </c>
      <c r="E196" s="18">
        <v>7185069.5</v>
      </c>
      <c r="F196" s="18">
        <v>14104277</v>
      </c>
      <c r="G196" s="18">
        <v>13428244</v>
      </c>
      <c r="H196" s="18">
        <v>14175526</v>
      </c>
      <c r="I196" s="18">
        <v>16.655971527099609</v>
      </c>
      <c r="J196" s="18">
        <v>15.950765609741211</v>
      </c>
      <c r="K196" s="18">
        <v>15.909781455993652</v>
      </c>
    </row>
    <row r="197" spans="2:11">
      <c r="B197" s="18">
        <v>12</v>
      </c>
      <c r="C197" s="19">
        <v>7562916.5</v>
      </c>
      <c r="D197" s="18">
        <v>7603358.5</v>
      </c>
      <c r="E197" s="18">
        <v>7685692.5</v>
      </c>
      <c r="F197" s="18">
        <v>13159558</v>
      </c>
      <c r="G197" s="18">
        <v>13372644</v>
      </c>
      <c r="H197" s="18">
        <v>12849664</v>
      </c>
      <c r="I197" s="18">
        <v>16.194929122924805</v>
      </c>
      <c r="J197" s="18">
        <v>16.706857681274414</v>
      </c>
      <c r="K197" s="18">
        <v>16.039268493652344</v>
      </c>
    </row>
    <row r="198" spans="2:11">
      <c r="B198" s="18">
        <v>12</v>
      </c>
      <c r="C198" s="19">
        <v>8115541</v>
      </c>
      <c r="D198" s="18">
        <v>7936512</v>
      </c>
      <c r="E198" s="18">
        <v>7642564.5</v>
      </c>
      <c r="F198" s="18">
        <v>14110181</v>
      </c>
      <c r="G198" s="18">
        <v>13991671</v>
      </c>
      <c r="H198" s="18">
        <v>14111576</v>
      </c>
      <c r="I198" s="18">
        <v>16.926067352294922</v>
      </c>
      <c r="J198" s="18">
        <v>16.471540451049805</v>
      </c>
      <c r="K198" s="18">
        <v>16.727643966674805</v>
      </c>
    </row>
    <row r="199" spans="2:11">
      <c r="B199" s="18">
        <v>12</v>
      </c>
      <c r="C199" s="19">
        <v>7637570</v>
      </c>
      <c r="D199" s="18">
        <v>7759763</v>
      </c>
      <c r="E199" s="18">
        <v>7582187.5</v>
      </c>
      <c r="F199" s="18">
        <v>13598565</v>
      </c>
      <c r="G199" s="18">
        <v>13559150</v>
      </c>
      <c r="H199" s="18">
        <v>12667760</v>
      </c>
      <c r="I199" s="18">
        <v>16.754619598388672</v>
      </c>
      <c r="J199" s="18">
        <v>16.962034225463867</v>
      </c>
      <c r="K199" s="18">
        <v>16.159782409667969</v>
      </c>
    </row>
    <row r="200" spans="2:11">
      <c r="B200" s="18">
        <v>12</v>
      </c>
      <c r="C200" s="19">
        <v>7460814.5</v>
      </c>
      <c r="D200" s="18">
        <v>7497847.5</v>
      </c>
      <c r="E200" s="18">
        <v>7404198.5</v>
      </c>
      <c r="F200" s="18">
        <v>13803239</v>
      </c>
      <c r="G200" s="18">
        <v>14102029</v>
      </c>
      <c r="H200" s="18">
        <v>13811923</v>
      </c>
      <c r="I200" s="18">
        <v>17.255765914916992</v>
      </c>
      <c r="J200" s="18">
        <v>17.313142776489258</v>
      </c>
      <c r="K200" s="18">
        <v>16.750661849975586</v>
      </c>
    </row>
    <row r="201" spans="2:11">
      <c r="B201" s="18">
        <v>12</v>
      </c>
      <c r="C201" s="19">
        <v>8192987.5</v>
      </c>
      <c r="D201" s="18">
        <v>8218183</v>
      </c>
      <c r="E201" s="18">
        <v>7871017.5</v>
      </c>
      <c r="F201" s="18">
        <v>13370092</v>
      </c>
      <c r="G201" s="18">
        <v>13395173</v>
      </c>
      <c r="H201" s="18">
        <v>12844437</v>
      </c>
      <c r="I201" s="18">
        <v>16.332046508789063</v>
      </c>
      <c r="J201" s="18">
        <v>16.651628494262695</v>
      </c>
      <c r="K201" s="18">
        <v>15.849873542785645</v>
      </c>
    </row>
    <row r="202" spans="2:11">
      <c r="B202" s="18">
        <v>12</v>
      </c>
      <c r="C202" s="19">
        <v>7235043.5</v>
      </c>
      <c r="D202" s="18">
        <v>7174792.5</v>
      </c>
      <c r="E202" s="18">
        <v>7236110</v>
      </c>
      <c r="F202" s="18">
        <v>13480326</v>
      </c>
      <c r="G202" s="18">
        <v>13170222</v>
      </c>
      <c r="H202" s="18">
        <v>12526563</v>
      </c>
      <c r="I202" s="18">
        <v>16.838384628295898</v>
      </c>
      <c r="J202" s="18">
        <v>16.968160629272461</v>
      </c>
      <c r="K202" s="18">
        <v>15.793066024780273</v>
      </c>
    </row>
    <row r="203" spans="2:11">
      <c r="B203" s="18">
        <v>12</v>
      </c>
      <c r="C203" s="19">
        <v>7532513.5</v>
      </c>
      <c r="D203" s="18">
        <v>7647676</v>
      </c>
      <c r="E203" s="18">
        <v>7279978</v>
      </c>
      <c r="F203" s="18">
        <v>13451144</v>
      </c>
      <c r="G203" s="18">
        <v>13178108</v>
      </c>
      <c r="H203" s="18">
        <v>12684884</v>
      </c>
      <c r="I203" s="18">
        <v>16.079757690429688</v>
      </c>
      <c r="J203" s="18">
        <v>16.438209533691406</v>
      </c>
      <c r="K203" s="18">
        <v>15.673610687255859</v>
      </c>
    </row>
    <row r="204" spans="2:11">
      <c r="B204" s="18">
        <v>12</v>
      </c>
      <c r="C204" s="19">
        <v>7557601</v>
      </c>
      <c r="D204" s="18">
        <v>7412587.5</v>
      </c>
      <c r="E204" s="18">
        <v>7443399</v>
      </c>
      <c r="F204" s="18">
        <v>14429593</v>
      </c>
      <c r="G204" s="18">
        <v>14009766</v>
      </c>
      <c r="H204" s="18">
        <v>13590701</v>
      </c>
      <c r="I204" s="18">
        <v>17.210962295532227</v>
      </c>
      <c r="J204" s="18">
        <v>16.796920776367188</v>
      </c>
      <c r="K204" s="18">
        <v>16.159145355224609</v>
      </c>
    </row>
    <row r="205" spans="2:11">
      <c r="B205" s="18">
        <v>12</v>
      </c>
      <c r="C205" s="19">
        <v>7908343</v>
      </c>
      <c r="D205" s="18">
        <v>7888178.5</v>
      </c>
      <c r="E205" s="18">
        <v>7823694</v>
      </c>
      <c r="F205" s="18">
        <v>13150160</v>
      </c>
      <c r="G205" s="18">
        <v>13790882</v>
      </c>
      <c r="H205" s="18">
        <v>13354176</v>
      </c>
      <c r="I205" s="18">
        <v>16.501901626586914</v>
      </c>
      <c r="J205" s="18">
        <v>16.754758834838867</v>
      </c>
      <c r="K205" s="18">
        <v>16.579078674316406</v>
      </c>
    </row>
    <row r="206" spans="2:11">
      <c r="B206" s="18">
        <v>12</v>
      </c>
      <c r="C206" s="19">
        <v>7843443</v>
      </c>
      <c r="D206" s="18">
        <v>7672721</v>
      </c>
      <c r="E206" s="18">
        <v>7583084.5</v>
      </c>
      <c r="F206" s="18">
        <v>12342640</v>
      </c>
      <c r="G206" s="18">
        <v>13083568</v>
      </c>
      <c r="H206" s="18">
        <v>12451384</v>
      </c>
      <c r="I206" s="18">
        <v>15.621563911437988</v>
      </c>
      <c r="J206" s="18">
        <v>16.220111846923828</v>
      </c>
      <c r="K206" s="18">
        <v>15.436550140380859</v>
      </c>
    </row>
    <row r="207" spans="2:11">
      <c r="B207" s="18">
        <v>12</v>
      </c>
      <c r="C207" s="19">
        <v>7666426</v>
      </c>
      <c r="D207" s="18">
        <v>7805152.5</v>
      </c>
      <c r="E207" s="18">
        <v>7382480</v>
      </c>
      <c r="F207" s="18">
        <v>13277257</v>
      </c>
      <c r="G207" s="18">
        <v>13662460</v>
      </c>
      <c r="H207" s="18">
        <v>12866599</v>
      </c>
      <c r="I207" s="18">
        <v>16.543907165527344</v>
      </c>
      <c r="J207" s="18">
        <v>16.757938385009766</v>
      </c>
      <c r="K207" s="18">
        <v>16.089801788330078</v>
      </c>
    </row>
    <row r="208" spans="2:11">
      <c r="B208" s="18">
        <v>12</v>
      </c>
      <c r="C208" s="19">
        <v>8180037</v>
      </c>
      <c r="D208" s="18">
        <v>8004431</v>
      </c>
      <c r="E208" s="18">
        <v>8261480.5</v>
      </c>
      <c r="F208" s="18">
        <v>13340239</v>
      </c>
      <c r="G208" s="18">
        <v>13377253</v>
      </c>
      <c r="H208" s="18">
        <v>12964047</v>
      </c>
      <c r="I208" s="18">
        <v>16.44438362121582</v>
      </c>
      <c r="J208" s="18">
        <v>16.56634521484375</v>
      </c>
      <c r="K208" s="18">
        <v>15.960178375244141</v>
      </c>
    </row>
    <row r="209" spans="2:11">
      <c r="B209" s="18">
        <v>12</v>
      </c>
      <c r="C209" s="19">
        <v>7430930.5</v>
      </c>
      <c r="D209" s="18">
        <v>7560494</v>
      </c>
      <c r="E209" s="18">
        <v>7318584</v>
      </c>
      <c r="F209" s="18">
        <v>13664594</v>
      </c>
      <c r="G209" s="18">
        <v>13763842</v>
      </c>
      <c r="H209" s="18">
        <v>13631178</v>
      </c>
      <c r="I209" s="18">
        <v>16.90667724609375</v>
      </c>
      <c r="J209" s="18">
        <v>16.880142211914063</v>
      </c>
      <c r="K209" s="18">
        <v>16.388315200805664</v>
      </c>
    </row>
    <row r="210" spans="2:11">
      <c r="B210" s="18">
        <v>12</v>
      </c>
      <c r="C210" s="19">
        <v>7587854</v>
      </c>
      <c r="D210" s="18">
        <v>7549301</v>
      </c>
      <c r="E210" s="18">
        <v>7440653</v>
      </c>
      <c r="F210" s="18">
        <v>13319894</v>
      </c>
      <c r="G210" s="18">
        <v>13638350</v>
      </c>
      <c r="H210" s="18">
        <v>13449514</v>
      </c>
      <c r="I210" s="18">
        <v>16.249505996704102</v>
      </c>
      <c r="J210" s="18">
        <v>16.570846557617188</v>
      </c>
      <c r="K210" s="18">
        <v>15.689760208129883</v>
      </c>
    </row>
    <row r="211" spans="2:11">
      <c r="B211" s="18">
        <v>12</v>
      </c>
      <c r="C211" s="19">
        <v>7486915.5</v>
      </c>
      <c r="D211" s="18">
        <v>7250654</v>
      </c>
      <c r="E211" s="18">
        <v>7144588.5</v>
      </c>
      <c r="F211" s="18">
        <v>14104398</v>
      </c>
      <c r="G211" s="18">
        <v>13336323</v>
      </c>
      <c r="H211" s="18">
        <v>13378504</v>
      </c>
      <c r="I211" s="18">
        <v>16.557073593139648</v>
      </c>
      <c r="J211" s="18">
        <v>16.909339904785156</v>
      </c>
      <c r="K211" s="18">
        <v>17.109350204467773</v>
      </c>
    </row>
    <row r="212" spans="2:11">
      <c r="B212" s="18">
        <v>14</v>
      </c>
      <c r="C212" s="19">
        <v>8127683</v>
      </c>
      <c r="D212" s="18">
        <v>8010989</v>
      </c>
      <c r="E212" s="18">
        <v>7947160.5</v>
      </c>
      <c r="F212" s="18">
        <v>12013181</v>
      </c>
      <c r="G212" s="18">
        <v>12663362</v>
      </c>
      <c r="H212" s="18">
        <v>12438584</v>
      </c>
      <c r="I212" s="18">
        <v>14.313912391662598</v>
      </c>
      <c r="J212" s="18">
        <v>15.011262893676758</v>
      </c>
      <c r="K212" s="18">
        <v>14.224532127380371</v>
      </c>
    </row>
    <row r="213" spans="2:11">
      <c r="B213" s="18">
        <v>14</v>
      </c>
      <c r="C213" s="19">
        <v>7834014.5</v>
      </c>
      <c r="D213" s="18">
        <v>7945120.5</v>
      </c>
      <c r="E213" s="18">
        <v>7693400</v>
      </c>
      <c r="F213" s="18">
        <v>13086695</v>
      </c>
      <c r="G213" s="18">
        <v>12729510</v>
      </c>
      <c r="H213" s="18">
        <v>12220199</v>
      </c>
      <c r="I213" s="18">
        <v>15.360142707824707</v>
      </c>
      <c r="J213" s="18">
        <v>15.758711814880371</v>
      </c>
      <c r="K213" s="18">
        <v>15.004277229309082</v>
      </c>
    </row>
    <row r="214" spans="2:11">
      <c r="B214" s="18">
        <v>14</v>
      </c>
      <c r="C214" s="19">
        <v>7987284.5</v>
      </c>
      <c r="D214" s="18">
        <v>8459176</v>
      </c>
      <c r="E214" s="18">
        <v>7831139</v>
      </c>
      <c r="F214" s="18">
        <v>12794602</v>
      </c>
      <c r="G214" s="18">
        <v>12014746</v>
      </c>
      <c r="H214" s="18">
        <v>11475777</v>
      </c>
      <c r="I214" s="18">
        <v>14.704850196838379</v>
      </c>
      <c r="J214" s="18">
        <v>14.311694145202637</v>
      </c>
      <c r="K214" s="18">
        <v>13.327255249023438</v>
      </c>
    </row>
    <row r="215" spans="2:11">
      <c r="B215" s="18">
        <v>14</v>
      </c>
      <c r="C215" s="19">
        <v>7679117</v>
      </c>
      <c r="D215" s="18">
        <v>8025755</v>
      </c>
      <c r="E215" s="18">
        <v>8143152.5</v>
      </c>
      <c r="F215" s="18">
        <v>12155979</v>
      </c>
      <c r="G215" s="18">
        <v>12557680</v>
      </c>
      <c r="H215" s="18">
        <v>11762096</v>
      </c>
      <c r="I215" s="18">
        <v>15.335382461547852</v>
      </c>
      <c r="J215" s="18">
        <v>14.917093276977539</v>
      </c>
      <c r="K215" s="18">
        <v>14.123169898986816</v>
      </c>
    </row>
    <row r="216" spans="2:11">
      <c r="B216" s="18">
        <v>14</v>
      </c>
      <c r="C216" s="19">
        <v>8653942</v>
      </c>
      <c r="D216" s="18">
        <v>8462750</v>
      </c>
      <c r="E216" s="18">
        <v>8668286</v>
      </c>
      <c r="F216" s="18">
        <v>12097637</v>
      </c>
      <c r="G216" s="18">
        <v>12211864</v>
      </c>
      <c r="H216" s="18">
        <v>11347960</v>
      </c>
      <c r="I216" s="18">
        <v>14.664799690246582</v>
      </c>
      <c r="J216" s="18">
        <v>13.744848251342773</v>
      </c>
      <c r="K216" s="18">
        <v>13.43061637878418</v>
      </c>
    </row>
    <row r="217" spans="2:11">
      <c r="B217" s="18">
        <v>14</v>
      </c>
      <c r="C217" s="19">
        <v>7936604.5</v>
      </c>
      <c r="D217" s="18">
        <v>7872121.5</v>
      </c>
      <c r="E217" s="18">
        <v>7491306</v>
      </c>
      <c r="F217" s="18">
        <v>12815640</v>
      </c>
      <c r="G217" s="18">
        <v>12256542</v>
      </c>
      <c r="H217" s="18">
        <v>11971902</v>
      </c>
      <c r="I217" s="18">
        <v>15.606799125671387</v>
      </c>
      <c r="J217" s="18">
        <v>15.271260261535645</v>
      </c>
      <c r="K217" s="18">
        <v>14.446867942810059</v>
      </c>
    </row>
    <row r="218" spans="2:11">
      <c r="B218" s="18">
        <v>14</v>
      </c>
      <c r="C218" s="19">
        <v>8052205</v>
      </c>
      <c r="D218" s="18">
        <v>7839062.5</v>
      </c>
      <c r="E218" s="18">
        <v>7615427.5</v>
      </c>
      <c r="F218" s="18">
        <v>12509498</v>
      </c>
      <c r="G218" s="18">
        <v>12401807</v>
      </c>
      <c r="H218" s="18">
        <v>11999745</v>
      </c>
      <c r="I218" s="18">
        <v>15.359257698059082</v>
      </c>
      <c r="J218" s="18">
        <v>15.337570190429688</v>
      </c>
      <c r="K218" s="18">
        <v>14.65550708770752</v>
      </c>
    </row>
    <row r="219" spans="2:11">
      <c r="B219" s="18">
        <v>14</v>
      </c>
      <c r="C219" s="19">
        <v>8325136.5</v>
      </c>
      <c r="D219" s="18">
        <v>8166508.5</v>
      </c>
      <c r="E219" s="18">
        <v>8314340</v>
      </c>
      <c r="F219" s="18">
        <v>12470338</v>
      </c>
      <c r="G219" s="18">
        <v>12629735</v>
      </c>
      <c r="H219" s="18">
        <v>11724972</v>
      </c>
      <c r="I219" s="18">
        <v>13.683951377868652</v>
      </c>
      <c r="J219" s="18">
        <v>14.430496215820313</v>
      </c>
      <c r="K219" s="18">
        <v>12.975077629089355</v>
      </c>
    </row>
    <row r="220" spans="2:11">
      <c r="B220" s="18">
        <v>14</v>
      </c>
      <c r="C220" s="19">
        <v>7844669</v>
      </c>
      <c r="D220" s="18">
        <v>8383884</v>
      </c>
      <c r="E220" s="18">
        <v>8274910</v>
      </c>
      <c r="F220" s="18">
        <v>12094872</v>
      </c>
      <c r="G220" s="18">
        <v>12805720</v>
      </c>
      <c r="H220" s="18">
        <v>11965837</v>
      </c>
      <c r="I220" s="18">
        <v>14.6185302734375</v>
      </c>
      <c r="J220" s="18">
        <v>15.48316478729248</v>
      </c>
      <c r="K220" s="18">
        <v>13.969764709472656</v>
      </c>
    </row>
    <row r="221" spans="2:11">
      <c r="B221" s="18">
        <v>14</v>
      </c>
      <c r="C221" s="19">
        <v>7601760.5</v>
      </c>
      <c r="D221" s="18">
        <v>7855635.5</v>
      </c>
      <c r="E221" s="18">
        <v>7702309.5</v>
      </c>
      <c r="F221" s="18">
        <v>13292214</v>
      </c>
      <c r="G221" s="18">
        <v>12130085</v>
      </c>
      <c r="H221" s="18">
        <v>12137578</v>
      </c>
      <c r="I221" s="18">
        <v>15.204999923706055</v>
      </c>
      <c r="J221" s="18">
        <v>14.829200744628906</v>
      </c>
      <c r="K221" s="18">
        <v>14.564414024353027</v>
      </c>
    </row>
    <row r="222" spans="2:11">
      <c r="B222" s="18">
        <v>14</v>
      </c>
      <c r="C222" s="19">
        <v>8097821.5</v>
      </c>
      <c r="D222" s="18">
        <v>8022000</v>
      </c>
      <c r="E222" s="18">
        <v>8076536</v>
      </c>
      <c r="F222" s="18">
        <v>12884189</v>
      </c>
      <c r="G222" s="18">
        <v>13188819</v>
      </c>
      <c r="H222" s="18">
        <v>11744404</v>
      </c>
      <c r="I222" s="18">
        <v>15.875725746154785</v>
      </c>
      <c r="J222" s="18">
        <v>15.684294700622559</v>
      </c>
      <c r="K222" s="18">
        <v>13.946459770202637</v>
      </c>
    </row>
    <row r="223" spans="2:11">
      <c r="B223" s="18">
        <v>14</v>
      </c>
      <c r="C223" s="19">
        <v>7752468</v>
      </c>
      <c r="D223" s="18">
        <v>8217855</v>
      </c>
      <c r="E223" s="18">
        <v>8001375</v>
      </c>
      <c r="F223" s="18">
        <v>11793010</v>
      </c>
      <c r="G223" s="18">
        <v>11914287</v>
      </c>
      <c r="H223" s="18">
        <v>11700873</v>
      </c>
      <c r="I223" s="18">
        <v>14.00206184387207</v>
      </c>
      <c r="J223" s="18">
        <v>13.924482345581055</v>
      </c>
      <c r="K223" s="18">
        <v>13.100864410400391</v>
      </c>
    </row>
    <row r="224" spans="2:11">
      <c r="B224" s="18">
        <v>14</v>
      </c>
      <c r="C224" s="19">
        <v>7463071.5</v>
      </c>
      <c r="D224" s="18">
        <v>7373931</v>
      </c>
      <c r="E224" s="18">
        <v>7439172</v>
      </c>
      <c r="F224" s="18">
        <v>12489557</v>
      </c>
      <c r="G224" s="18">
        <v>13082248</v>
      </c>
      <c r="H224" s="18">
        <v>12133815</v>
      </c>
      <c r="I224" s="18">
        <v>15.15450382232666</v>
      </c>
      <c r="J224" s="18">
        <v>15.718418121337891</v>
      </c>
      <c r="K224" s="18">
        <v>14.515686988830566</v>
      </c>
    </row>
    <row r="225" spans="2:11">
      <c r="B225" s="18">
        <v>14</v>
      </c>
      <c r="C225" s="19">
        <v>7741235</v>
      </c>
      <c r="D225" s="18">
        <v>7776597</v>
      </c>
      <c r="E225" s="18">
        <v>7441211.5</v>
      </c>
      <c r="F225" s="18">
        <v>12517545</v>
      </c>
      <c r="G225" s="18">
        <v>13771268</v>
      </c>
      <c r="H225" s="18">
        <v>12734838</v>
      </c>
      <c r="I225" s="18">
        <v>15.124529838562012</v>
      </c>
      <c r="J225" s="18">
        <v>15.619054794311523</v>
      </c>
      <c r="K225" s="18">
        <v>15.154956817626953</v>
      </c>
    </row>
    <row r="226" spans="2:11">
      <c r="B226" s="18">
        <v>14</v>
      </c>
      <c r="C226" s="19">
        <v>7631109</v>
      </c>
      <c r="D226" s="18">
        <v>7999605</v>
      </c>
      <c r="E226" s="18">
        <v>7579580.5</v>
      </c>
      <c r="F226" s="18">
        <v>12230465</v>
      </c>
      <c r="G226" s="18">
        <v>12160049</v>
      </c>
      <c r="H226" s="18">
        <v>12644716</v>
      </c>
      <c r="I226" s="18">
        <v>14.284689903259277</v>
      </c>
      <c r="J226" s="18">
        <v>14.257667541503906</v>
      </c>
      <c r="K226" s="18">
        <v>13.348440170288086</v>
      </c>
    </row>
    <row r="227" spans="2:11">
      <c r="B227" s="18">
        <v>14</v>
      </c>
      <c r="C227" s="19">
        <v>8172472.5</v>
      </c>
      <c r="D227" s="18">
        <v>8373118.5</v>
      </c>
      <c r="E227" s="18">
        <v>8441410</v>
      </c>
      <c r="F227" s="18">
        <v>12429627</v>
      </c>
      <c r="G227" s="18">
        <v>12386638</v>
      </c>
      <c r="H227" s="18">
        <v>11857161</v>
      </c>
      <c r="I227" s="18">
        <v>14.119187355041504</v>
      </c>
      <c r="J227" s="18">
        <v>15.014269828796387</v>
      </c>
      <c r="K227" s="18">
        <v>13.994028091430664</v>
      </c>
    </row>
    <row r="228" spans="2:11">
      <c r="B228" s="18">
        <v>14</v>
      </c>
      <c r="C228" s="19">
        <v>7430954</v>
      </c>
      <c r="D228" s="18">
        <v>7472014</v>
      </c>
      <c r="E228" s="18">
        <v>7411307</v>
      </c>
      <c r="F228" s="18">
        <v>11686969</v>
      </c>
      <c r="G228" s="18">
        <v>12824483</v>
      </c>
      <c r="H228" s="18">
        <v>11930593</v>
      </c>
      <c r="I228" s="18">
        <v>13.90995979309082</v>
      </c>
      <c r="J228" s="18">
        <v>14.654423713684082</v>
      </c>
      <c r="K228" s="18">
        <v>14.491520881652832</v>
      </c>
    </row>
    <row r="229" spans="2:11">
      <c r="B229" s="18">
        <v>14</v>
      </c>
      <c r="C229" s="19">
        <v>8187907.5</v>
      </c>
      <c r="D229" s="18">
        <v>8307631</v>
      </c>
      <c r="E229" s="18">
        <v>8246110.5</v>
      </c>
      <c r="F229" s="18">
        <v>12191382</v>
      </c>
      <c r="G229" s="18">
        <v>12427741</v>
      </c>
      <c r="H229" s="18">
        <v>11417148</v>
      </c>
      <c r="I229" s="18">
        <v>14.826322555541992</v>
      </c>
      <c r="J229" s="18">
        <v>14.320844650268555</v>
      </c>
      <c r="K229" s="18">
        <v>13.81678581237793</v>
      </c>
    </row>
    <row r="230" spans="2:11">
      <c r="B230" s="18">
        <v>14</v>
      </c>
      <c r="C230" s="19">
        <v>7797377</v>
      </c>
      <c r="D230" s="18">
        <v>7885767.5</v>
      </c>
      <c r="E230" s="18">
        <v>8271943</v>
      </c>
      <c r="F230" s="18">
        <v>11657081</v>
      </c>
      <c r="G230" s="18">
        <v>11758232</v>
      </c>
      <c r="H230" s="18">
        <v>11411408</v>
      </c>
      <c r="I230" s="18">
        <v>13.496221542358398</v>
      </c>
      <c r="J230" s="18">
        <v>13.663948059082031</v>
      </c>
      <c r="K230" s="18">
        <v>12.853070259094238</v>
      </c>
    </row>
    <row r="231" spans="2:11">
      <c r="B231" s="18">
        <v>14</v>
      </c>
      <c r="C231" s="19">
        <v>7984372</v>
      </c>
      <c r="D231" s="18">
        <v>7931728</v>
      </c>
      <c r="E231" s="18">
        <v>7803237.5</v>
      </c>
      <c r="F231" s="18">
        <v>11612977</v>
      </c>
      <c r="G231" s="18">
        <v>12434628</v>
      </c>
      <c r="H231" s="18">
        <v>11689143</v>
      </c>
      <c r="I231" s="18">
        <v>13.622358322143555</v>
      </c>
      <c r="J231" s="18">
        <v>13.891035079956055</v>
      </c>
      <c r="K231" s="18">
        <v>13.528395652770996</v>
      </c>
    </row>
    <row r="232" spans="2:11">
      <c r="B232" s="18">
        <v>14</v>
      </c>
      <c r="C232" s="19">
        <v>7817182.5</v>
      </c>
      <c r="D232" s="18">
        <v>7907961.5</v>
      </c>
      <c r="E232" s="18">
        <v>8043957</v>
      </c>
      <c r="F232" s="18">
        <v>11909578</v>
      </c>
      <c r="G232" s="18">
        <v>12532154</v>
      </c>
      <c r="H232" s="18">
        <v>12275092</v>
      </c>
      <c r="I232" s="18">
        <v>15.34178352355957</v>
      </c>
      <c r="J232" s="18">
        <v>15.506329536437988</v>
      </c>
      <c r="K232" s="18">
        <v>15.110041618347168</v>
      </c>
    </row>
    <row r="233" spans="2:11">
      <c r="B233" s="18">
        <v>14</v>
      </c>
      <c r="C233" s="19">
        <v>7947726</v>
      </c>
      <c r="D233" s="18">
        <v>7962463</v>
      </c>
      <c r="E233" s="18">
        <v>7630285</v>
      </c>
      <c r="F233" s="18">
        <v>13232399</v>
      </c>
      <c r="G233" s="18">
        <v>13036634</v>
      </c>
      <c r="H233" s="18">
        <v>12432408</v>
      </c>
      <c r="I233" s="18">
        <v>17.158962249755859</v>
      </c>
      <c r="J233" s="18">
        <v>16.907505035400391</v>
      </c>
      <c r="K233" s="18">
        <v>15.931703567504883</v>
      </c>
    </row>
    <row r="234" spans="2:11">
      <c r="B234" s="18">
        <v>14</v>
      </c>
      <c r="C234" s="19">
        <v>8174529</v>
      </c>
      <c r="D234" s="18">
        <v>7936704.5</v>
      </c>
      <c r="E234" s="18">
        <v>7640936</v>
      </c>
      <c r="F234" s="18">
        <v>12090706</v>
      </c>
      <c r="G234" s="18">
        <v>12235996</v>
      </c>
      <c r="H234" s="18">
        <v>11628498</v>
      </c>
      <c r="I234" s="18">
        <v>14.589852333068848</v>
      </c>
      <c r="J234" s="18">
        <v>15.172671318054199</v>
      </c>
      <c r="K234" s="18">
        <v>14.118444442749023</v>
      </c>
    </row>
    <row r="235" spans="2:11">
      <c r="B235" s="18">
        <v>14</v>
      </c>
      <c r="C235" s="19">
        <v>8009782.5</v>
      </c>
      <c r="D235" s="18">
        <v>7719165</v>
      </c>
      <c r="E235" s="18">
        <v>7860172.5</v>
      </c>
      <c r="F235" s="18">
        <v>11977157</v>
      </c>
      <c r="G235" s="18">
        <v>11810718</v>
      </c>
      <c r="H235" s="18">
        <v>11962878</v>
      </c>
      <c r="I235" s="18">
        <v>14.808474540710449</v>
      </c>
      <c r="J235" s="18">
        <v>14.817777633666992</v>
      </c>
      <c r="K235" s="18">
        <v>14.069045066833496</v>
      </c>
    </row>
    <row r="236" spans="2:11">
      <c r="B236" s="18">
        <v>14</v>
      </c>
      <c r="C236" s="19">
        <v>7839832.5</v>
      </c>
      <c r="D236" s="18">
        <v>7883566</v>
      </c>
      <c r="E236" s="18">
        <v>7690529.5</v>
      </c>
      <c r="F236" s="18">
        <v>12597404</v>
      </c>
      <c r="G236" s="18">
        <v>12410610</v>
      </c>
      <c r="H236" s="18">
        <v>12334117</v>
      </c>
      <c r="I236" s="18">
        <v>15.382610321044922</v>
      </c>
      <c r="J236" s="18">
        <v>14.740376472473145</v>
      </c>
      <c r="K236" s="18">
        <v>14.343108177185059</v>
      </c>
    </row>
    <row r="237" spans="2:11">
      <c r="B237" s="18">
        <v>14</v>
      </c>
      <c r="C237" s="19">
        <v>8021315</v>
      </c>
      <c r="D237" s="18">
        <v>7857144.5</v>
      </c>
      <c r="E237" s="18">
        <v>7740035</v>
      </c>
      <c r="F237" s="18">
        <v>12576591</v>
      </c>
      <c r="G237" s="18">
        <v>11871060</v>
      </c>
      <c r="H237" s="18">
        <v>12430975</v>
      </c>
      <c r="I237" s="18">
        <v>14.395263671875</v>
      </c>
      <c r="J237" s="18">
        <v>14.843902587890625</v>
      </c>
      <c r="K237" s="18">
        <v>14.008904457092285</v>
      </c>
    </row>
    <row r="238" spans="2:11">
      <c r="B238" s="18">
        <v>14</v>
      </c>
      <c r="C238" s="19">
        <v>8061995.5</v>
      </c>
      <c r="D238" s="18">
        <v>8173192.5</v>
      </c>
      <c r="E238" s="18">
        <v>7861242</v>
      </c>
      <c r="F238" s="18">
        <v>11690630</v>
      </c>
      <c r="G238" s="18">
        <v>12132118</v>
      </c>
      <c r="H238" s="18">
        <v>12380664</v>
      </c>
      <c r="I238" s="18">
        <v>13.976934432983398</v>
      </c>
      <c r="J238" s="18">
        <v>14.482855796813965</v>
      </c>
      <c r="K238" s="18">
        <v>13.914319038391113</v>
      </c>
    </row>
    <row r="239" spans="2:11">
      <c r="B239" s="18">
        <v>14</v>
      </c>
      <c r="C239" s="19">
        <v>7883791.5</v>
      </c>
      <c r="D239" s="18">
        <v>7853455</v>
      </c>
      <c r="E239" s="18">
        <v>7587268.5</v>
      </c>
      <c r="F239" s="18">
        <v>12070271</v>
      </c>
      <c r="G239" s="18">
        <v>11988111</v>
      </c>
      <c r="H239" s="18">
        <v>10962401</v>
      </c>
      <c r="I239" s="18">
        <v>14.543835639953613</v>
      </c>
      <c r="J239" s="18">
        <v>15.036250114440918</v>
      </c>
      <c r="K239" s="18">
        <v>13.307397842407227</v>
      </c>
    </row>
    <row r="240" spans="2:11">
      <c r="B240" s="18">
        <v>14</v>
      </c>
      <c r="C240" s="19">
        <v>7937737</v>
      </c>
      <c r="D240" s="18">
        <v>7936671</v>
      </c>
      <c r="E240" s="18">
        <v>7582079.5</v>
      </c>
      <c r="F240" s="18">
        <v>13204743</v>
      </c>
      <c r="G240" s="18">
        <v>13165933</v>
      </c>
      <c r="H240" s="18">
        <v>11926199</v>
      </c>
      <c r="I240" s="18">
        <v>15.014589309692383</v>
      </c>
      <c r="J240" s="18">
        <v>15.855997085571289</v>
      </c>
      <c r="K240" s="18">
        <v>14.169535636901855</v>
      </c>
    </row>
    <row r="241" spans="2:11">
      <c r="B241" s="18">
        <v>14</v>
      </c>
      <c r="C241" s="19">
        <v>8537194</v>
      </c>
      <c r="D241" s="18">
        <v>8281378.5</v>
      </c>
      <c r="E241" s="18">
        <v>8002181.5</v>
      </c>
      <c r="F241" s="18">
        <v>12531514</v>
      </c>
      <c r="G241" s="18">
        <v>12681498</v>
      </c>
      <c r="H241" s="18">
        <v>12655389</v>
      </c>
      <c r="I241" s="18">
        <v>15.904220581054688</v>
      </c>
      <c r="J241" s="18">
        <v>16.195344924926758</v>
      </c>
      <c r="K241" s="18">
        <v>15.16680908203125</v>
      </c>
    </row>
    <row r="242" spans="2:11">
      <c r="B242" s="18">
        <v>14</v>
      </c>
      <c r="C242" s="19">
        <v>7809633.5</v>
      </c>
      <c r="D242" s="18">
        <v>8206587.5</v>
      </c>
      <c r="E242" s="18">
        <v>7751886</v>
      </c>
      <c r="F242" s="18">
        <v>12460826</v>
      </c>
      <c r="G242" s="18">
        <v>12670269</v>
      </c>
      <c r="H242" s="18">
        <v>12181964</v>
      </c>
      <c r="I242" s="18">
        <v>14.601302146911621</v>
      </c>
      <c r="J242" s="18">
        <v>14.90273380279541</v>
      </c>
      <c r="K242" s="18">
        <v>14.43794059753418</v>
      </c>
    </row>
    <row r="243" spans="2:11">
      <c r="B243" s="18">
        <v>14</v>
      </c>
      <c r="C243" s="19">
        <v>7977688.5</v>
      </c>
      <c r="D243" s="18">
        <v>7743638</v>
      </c>
      <c r="E243" s="18">
        <v>7651270.5</v>
      </c>
      <c r="F243" s="18">
        <v>12362715</v>
      </c>
      <c r="G243" s="18">
        <v>12279559</v>
      </c>
      <c r="H243" s="18">
        <v>12027323</v>
      </c>
      <c r="I243" s="18">
        <v>15.437429428100586</v>
      </c>
      <c r="J243" s="18">
        <v>15.276416778564453</v>
      </c>
      <c r="K243" s="18">
        <v>14.767763137817383</v>
      </c>
    </row>
    <row r="244" spans="2:11">
      <c r="B244" s="18">
        <v>14</v>
      </c>
      <c r="C244" s="19">
        <v>8068789</v>
      </c>
      <c r="D244" s="18">
        <v>8214869</v>
      </c>
      <c r="E244" s="18">
        <v>7740852.5</v>
      </c>
      <c r="F244" s="18">
        <v>12417111</v>
      </c>
      <c r="G244" s="18">
        <v>12744731</v>
      </c>
      <c r="H244" s="18">
        <v>11824132</v>
      </c>
      <c r="I244" s="18">
        <v>15.90996265411377</v>
      </c>
      <c r="J244" s="18">
        <v>16.318098068237305</v>
      </c>
      <c r="K244" s="18">
        <v>15.589450836181641</v>
      </c>
    </row>
    <row r="245" spans="2:11">
      <c r="B245" s="18">
        <v>14</v>
      </c>
      <c r="C245" s="19">
        <v>7993248.5</v>
      </c>
      <c r="D245" s="18">
        <v>7881146</v>
      </c>
      <c r="E245" s="18">
        <v>7657895</v>
      </c>
      <c r="F245" s="18">
        <v>12385585</v>
      </c>
      <c r="G245" s="18">
        <v>12360594</v>
      </c>
      <c r="H245" s="18">
        <v>11677857</v>
      </c>
      <c r="I245" s="18">
        <v>14.704705238342285</v>
      </c>
      <c r="J245" s="18">
        <v>14.79188060760498</v>
      </c>
      <c r="K245" s="18">
        <v>13.621159553527832</v>
      </c>
    </row>
    <row r="246" spans="2:11">
      <c r="B246" s="18">
        <v>14</v>
      </c>
      <c r="C246" s="19">
        <v>7629117</v>
      </c>
      <c r="D246" s="18">
        <v>7884999</v>
      </c>
      <c r="E246" s="18">
        <v>7560456</v>
      </c>
      <c r="F246" s="18">
        <v>12624903</v>
      </c>
      <c r="G246" s="18">
        <v>12872953</v>
      </c>
      <c r="H246" s="18">
        <v>13101291</v>
      </c>
      <c r="I246" s="18">
        <v>14.64703369140625</v>
      </c>
      <c r="J246" s="18">
        <v>15.182847023010254</v>
      </c>
      <c r="K246" s="18">
        <v>14.494598388671875</v>
      </c>
    </row>
    <row r="247" spans="2:11">
      <c r="B247" s="18">
        <v>14</v>
      </c>
      <c r="C247" s="19">
        <v>7810636</v>
      </c>
      <c r="D247" s="18">
        <v>8072392.5</v>
      </c>
      <c r="E247" s="18">
        <v>7949790</v>
      </c>
      <c r="F247" s="18">
        <v>11172306</v>
      </c>
      <c r="G247" s="18">
        <v>11784736</v>
      </c>
      <c r="H247" s="18">
        <v>11256329</v>
      </c>
      <c r="I247" s="18">
        <v>13.782697677612305</v>
      </c>
      <c r="J247" s="18">
        <v>14.381908416748047</v>
      </c>
      <c r="K247" s="18">
        <v>13.455384254455566</v>
      </c>
    </row>
    <row r="248" spans="2:11">
      <c r="B248" s="18">
        <v>14</v>
      </c>
      <c r="C248" s="19">
        <v>8775338</v>
      </c>
      <c r="D248" s="18">
        <v>8608882</v>
      </c>
      <c r="E248" s="18">
        <v>8415978</v>
      </c>
      <c r="F248" s="18">
        <v>12228545</v>
      </c>
      <c r="G248" s="18">
        <v>12232473</v>
      </c>
      <c r="H248" s="18">
        <v>11275448</v>
      </c>
      <c r="I248" s="18">
        <v>14.157835006713867</v>
      </c>
      <c r="J248" s="18">
        <v>14.495588302612305</v>
      </c>
      <c r="K248" s="18">
        <v>13.367670059204102</v>
      </c>
    </row>
    <row r="249" spans="2:11">
      <c r="B249" s="18">
        <v>14</v>
      </c>
      <c r="C249" s="19">
        <v>8158347.5</v>
      </c>
      <c r="D249" s="18">
        <v>7991309</v>
      </c>
      <c r="E249" s="18">
        <v>7820722</v>
      </c>
      <c r="F249" s="18">
        <v>12368965</v>
      </c>
      <c r="G249" s="18">
        <v>13200646</v>
      </c>
      <c r="H249" s="18">
        <v>12644620</v>
      </c>
      <c r="I249" s="18">
        <v>15.422443389892578</v>
      </c>
      <c r="J249" s="18">
        <v>15.360149383544922</v>
      </c>
      <c r="K249" s="18">
        <v>14.754921913146973</v>
      </c>
    </row>
    <row r="250" spans="2:11">
      <c r="B250" s="18">
        <v>14</v>
      </c>
      <c r="C250" s="19">
        <v>8429568</v>
      </c>
      <c r="D250" s="18">
        <v>8643218</v>
      </c>
      <c r="E250" s="18">
        <v>8004061</v>
      </c>
      <c r="F250" s="18">
        <v>12037634</v>
      </c>
      <c r="G250" s="18">
        <v>12536587</v>
      </c>
      <c r="H250" s="18">
        <v>11864320</v>
      </c>
      <c r="I250" s="18">
        <v>14.069404602050781</v>
      </c>
      <c r="J250" s="18">
        <v>14.447521209716797</v>
      </c>
      <c r="K250" s="18">
        <v>13.990256309509277</v>
      </c>
    </row>
    <row r="251" spans="2:11">
      <c r="B251" s="18">
        <v>14</v>
      </c>
      <c r="C251" s="19">
        <v>7781492.5</v>
      </c>
      <c r="D251" s="18">
        <v>7828602.5</v>
      </c>
      <c r="E251" s="18">
        <v>7574511</v>
      </c>
      <c r="F251" s="18">
        <v>11536619</v>
      </c>
      <c r="G251" s="18">
        <v>12888202</v>
      </c>
      <c r="H251" s="18">
        <v>11827098</v>
      </c>
      <c r="I251" s="18">
        <v>15.615663528442383</v>
      </c>
      <c r="J251" s="18">
        <v>15.582345962524414</v>
      </c>
      <c r="K251" s="18">
        <v>15.510433197021484</v>
      </c>
    </row>
    <row r="252" spans="2:11">
      <c r="B252" s="18">
        <v>14</v>
      </c>
      <c r="C252" s="19">
        <v>7935608.5</v>
      </c>
      <c r="D252" s="18">
        <v>7892118.5</v>
      </c>
      <c r="E252" s="18">
        <v>7509462</v>
      </c>
      <c r="F252" s="18">
        <v>11930127</v>
      </c>
      <c r="G252" s="18">
        <v>12588785</v>
      </c>
      <c r="H252" s="18">
        <v>11877248</v>
      </c>
      <c r="I252" s="18">
        <v>13.741215705871582</v>
      </c>
      <c r="J252" s="18">
        <v>14.348115921020508</v>
      </c>
      <c r="K252" s="18">
        <v>13.409391403198242</v>
      </c>
    </row>
    <row r="253" spans="2:11">
      <c r="B253" s="18">
        <v>14</v>
      </c>
      <c r="C253" s="19">
        <v>7645196</v>
      </c>
      <c r="D253" s="18">
        <v>7970060.5</v>
      </c>
      <c r="E253" s="18">
        <v>7853298.5</v>
      </c>
      <c r="F253" s="18">
        <v>12027059</v>
      </c>
      <c r="G253" s="18">
        <v>12703974</v>
      </c>
      <c r="H253" s="18">
        <v>11142409</v>
      </c>
      <c r="I253" s="18">
        <v>13.585282325744629</v>
      </c>
      <c r="J253" s="18">
        <v>14.459376335144043</v>
      </c>
      <c r="K253" s="18">
        <v>12.627086639404297</v>
      </c>
    </row>
    <row r="254" spans="2:11">
      <c r="B254" s="18">
        <v>14</v>
      </c>
      <c r="C254" s="19">
        <v>7469255.5</v>
      </c>
      <c r="D254" s="18">
        <v>7574932.5</v>
      </c>
      <c r="E254" s="18">
        <v>7335831.5</v>
      </c>
      <c r="F254" s="18">
        <v>13005909</v>
      </c>
      <c r="G254" s="18">
        <v>12693091</v>
      </c>
      <c r="H254" s="18">
        <v>12181459</v>
      </c>
      <c r="I254" s="18">
        <v>16.450885772705078</v>
      </c>
      <c r="J254" s="18">
        <v>16.334903717041016</v>
      </c>
      <c r="K254" s="18">
        <v>15.646364212036133</v>
      </c>
    </row>
    <row r="255" spans="2:11">
      <c r="B255" s="18">
        <v>14</v>
      </c>
      <c r="C255" s="19">
        <v>7963471</v>
      </c>
      <c r="D255" s="18">
        <v>7584835</v>
      </c>
      <c r="E255" s="18">
        <v>7751557.5</v>
      </c>
      <c r="F255" s="18">
        <v>11917716</v>
      </c>
      <c r="G255" s="18">
        <v>12120851</v>
      </c>
      <c r="H255" s="18">
        <v>11526173</v>
      </c>
      <c r="I255" s="18">
        <v>14.309622764587402</v>
      </c>
      <c r="J255" s="18">
        <v>14.755260467529297</v>
      </c>
      <c r="K255" s="18">
        <v>13.146333694458008</v>
      </c>
    </row>
    <row r="256" spans="2:11">
      <c r="B256" s="18">
        <v>14</v>
      </c>
      <c r="C256" s="19">
        <v>7357163.5</v>
      </c>
      <c r="D256" s="18">
        <v>7680820.5</v>
      </c>
      <c r="E256" s="18">
        <v>7444798</v>
      </c>
      <c r="F256" s="18">
        <v>12835061</v>
      </c>
      <c r="G256" s="18">
        <v>12617037</v>
      </c>
      <c r="H256" s="18">
        <v>11716009</v>
      </c>
      <c r="I256" s="18">
        <v>15.223983764648438</v>
      </c>
      <c r="J256" s="18">
        <v>14.993041038513184</v>
      </c>
      <c r="K256" s="18">
        <v>14.519105911254883</v>
      </c>
    </row>
    <row r="257" spans="2:11">
      <c r="B257" s="18">
        <v>14</v>
      </c>
      <c r="C257" s="19">
        <v>7468122.5</v>
      </c>
      <c r="D257" s="18">
        <v>7681496</v>
      </c>
      <c r="E257" s="18">
        <v>7475855.5</v>
      </c>
      <c r="F257" s="18">
        <v>12168650</v>
      </c>
      <c r="G257" s="18">
        <v>12192262</v>
      </c>
      <c r="H257" s="18">
        <v>11321480</v>
      </c>
      <c r="I257" s="18">
        <v>14.557818412780762</v>
      </c>
      <c r="J257" s="18">
        <v>14.844147682189941</v>
      </c>
      <c r="K257" s="18">
        <v>13.610508918762207</v>
      </c>
    </row>
    <row r="258" spans="2:11">
      <c r="B258" s="18">
        <v>14</v>
      </c>
      <c r="C258" s="19">
        <v>7695083</v>
      </c>
      <c r="D258" s="18">
        <v>8172591.5</v>
      </c>
      <c r="E258" s="18">
        <v>8136513</v>
      </c>
      <c r="F258" s="18">
        <v>12103352</v>
      </c>
      <c r="G258" s="18">
        <v>11816855</v>
      </c>
      <c r="H258" s="18">
        <v>11637792</v>
      </c>
      <c r="I258" s="18">
        <v>13.721676826477051</v>
      </c>
      <c r="J258" s="18">
        <v>13.394467353820801</v>
      </c>
      <c r="K258" s="18">
        <v>13.050039291381836</v>
      </c>
    </row>
    <row r="259" spans="2:11">
      <c r="B259" s="18">
        <v>14</v>
      </c>
      <c r="C259" s="19">
        <v>7774183.5</v>
      </c>
      <c r="D259" s="18">
        <v>8167620.5</v>
      </c>
      <c r="E259" s="18">
        <v>7496309.5</v>
      </c>
      <c r="F259" s="18">
        <v>13172238</v>
      </c>
      <c r="G259" s="18">
        <v>12367731</v>
      </c>
      <c r="H259" s="18">
        <v>12149118</v>
      </c>
      <c r="I259" s="18">
        <v>15.096796989440918</v>
      </c>
      <c r="J259" s="18">
        <v>15.454901695251465</v>
      </c>
      <c r="K259" s="18">
        <v>14.21494197845459</v>
      </c>
    </row>
    <row r="260" spans="2:11">
      <c r="B260" s="18">
        <v>14</v>
      </c>
      <c r="C260" s="19">
        <v>7846092</v>
      </c>
      <c r="D260" s="18">
        <v>8023323.5</v>
      </c>
      <c r="E260" s="18">
        <v>7881182.5</v>
      </c>
      <c r="F260" s="18">
        <v>13209154</v>
      </c>
      <c r="G260" s="18">
        <v>13386279</v>
      </c>
      <c r="H260" s="18">
        <v>12264757</v>
      </c>
      <c r="I260" s="18">
        <v>15.810877799987793</v>
      </c>
      <c r="J260" s="18">
        <v>15.772684097290039</v>
      </c>
      <c r="K260" s="18">
        <v>15.106200218200684</v>
      </c>
    </row>
    <row r="261" spans="2:11">
      <c r="B261" s="18">
        <v>14</v>
      </c>
      <c r="C261" s="19">
        <v>7857524</v>
      </c>
      <c r="D261" s="18">
        <v>8060130</v>
      </c>
      <c r="E261" s="18">
        <v>7767523</v>
      </c>
      <c r="F261" s="18">
        <v>12178956</v>
      </c>
      <c r="G261" s="18">
        <v>12444278</v>
      </c>
      <c r="H261" s="18">
        <v>11805099</v>
      </c>
      <c r="I261" s="18">
        <v>14.035279273986816</v>
      </c>
      <c r="J261" s="18">
        <v>14.67646312713623</v>
      </c>
      <c r="K261" s="18">
        <v>13.914356231689453</v>
      </c>
    </row>
    <row r="262" spans="2:11">
      <c r="B262" s="18">
        <v>14</v>
      </c>
      <c r="C262" s="19">
        <v>8117103</v>
      </c>
      <c r="D262" s="18">
        <v>8046716</v>
      </c>
      <c r="E262" s="18">
        <v>8104354.5</v>
      </c>
      <c r="F262" s="18">
        <v>12699089</v>
      </c>
      <c r="G262" s="18">
        <v>12413794</v>
      </c>
      <c r="H262" s="18">
        <v>12331911</v>
      </c>
      <c r="I262" s="18">
        <v>15.193707466125488</v>
      </c>
      <c r="J262" s="18">
        <v>15.371742248535156</v>
      </c>
      <c r="K262" s="18">
        <v>13.878559112548828</v>
      </c>
    </row>
    <row r="263" spans="2:11">
      <c r="B263" s="18">
        <v>14</v>
      </c>
      <c r="C263" s="19">
        <v>7397952.5</v>
      </c>
      <c r="D263" s="18">
        <v>7340537.5</v>
      </c>
      <c r="E263" s="18">
        <v>7338832</v>
      </c>
      <c r="F263" s="18">
        <v>13024232</v>
      </c>
      <c r="G263" s="18">
        <v>13182813</v>
      </c>
      <c r="H263" s="18">
        <v>12765276</v>
      </c>
      <c r="I263" s="18">
        <v>15.88801097869873</v>
      </c>
      <c r="J263" s="18">
        <v>16.278247833251953</v>
      </c>
      <c r="K263" s="18">
        <v>15.555025100708008</v>
      </c>
    </row>
    <row r="264" spans="2:11">
      <c r="B264" s="18">
        <v>14</v>
      </c>
      <c r="C264" s="19">
        <v>7573681</v>
      </c>
      <c r="D264" s="18">
        <v>7951808.5</v>
      </c>
      <c r="E264" s="18">
        <v>7637255.5</v>
      </c>
      <c r="F264" s="18">
        <v>12394805</v>
      </c>
      <c r="G264" s="18">
        <v>12610069</v>
      </c>
      <c r="H264" s="18">
        <v>11496724</v>
      </c>
      <c r="I264" s="18">
        <v>13.10062313079834</v>
      </c>
      <c r="J264" s="18">
        <v>13.843864440917969</v>
      </c>
      <c r="K264" s="18">
        <v>12.660060882568359</v>
      </c>
    </row>
    <row r="265" spans="2:11">
      <c r="B265" s="18">
        <v>14</v>
      </c>
      <c r="C265" s="19">
        <v>7669627</v>
      </c>
      <c r="D265" s="18">
        <v>7566045.5</v>
      </c>
      <c r="E265" s="18">
        <v>7852862.5</v>
      </c>
      <c r="F265" s="18">
        <v>12164101</v>
      </c>
      <c r="G265" s="18">
        <v>11950408</v>
      </c>
      <c r="H265" s="18">
        <v>11455372</v>
      </c>
      <c r="I265" s="18">
        <v>14.946480751037598</v>
      </c>
      <c r="J265" s="18">
        <v>14.42440128326416</v>
      </c>
      <c r="K265" s="18">
        <v>14.23358154296875</v>
      </c>
    </row>
    <row r="266" spans="2:11">
      <c r="B266" s="18">
        <v>14</v>
      </c>
      <c r="C266" s="19">
        <v>8193792</v>
      </c>
      <c r="D266" s="18">
        <v>7850384</v>
      </c>
      <c r="E266" s="18">
        <v>7742576.5</v>
      </c>
      <c r="F266" s="18">
        <v>12046871</v>
      </c>
      <c r="G266" s="18">
        <v>12830767</v>
      </c>
      <c r="H266" s="18">
        <v>11568736</v>
      </c>
      <c r="I266" s="18">
        <v>14.024432182312012</v>
      </c>
      <c r="J266" s="18">
        <v>13.306856155395508</v>
      </c>
      <c r="K266" s="18">
        <v>14.188843727111816</v>
      </c>
    </row>
    <row r="267" spans="2:11">
      <c r="B267" s="18">
        <v>14</v>
      </c>
      <c r="C267" s="19">
        <v>7869944.5</v>
      </c>
      <c r="D267" s="18">
        <v>7905241</v>
      </c>
      <c r="E267" s="18">
        <v>7741675.5</v>
      </c>
      <c r="F267" s="18">
        <v>12012548</v>
      </c>
      <c r="G267" s="18">
        <v>11113326</v>
      </c>
      <c r="H267" s="18">
        <v>11363002</v>
      </c>
      <c r="I267" s="18">
        <v>13.602662086486816</v>
      </c>
      <c r="J267" s="18">
        <v>14.239205360412598</v>
      </c>
      <c r="K267" s="18">
        <v>13.528262138366699</v>
      </c>
    </row>
    <row r="268" spans="2:11">
      <c r="B268" s="18">
        <v>14</v>
      </c>
      <c r="C268" s="19">
        <v>7857883.5</v>
      </c>
      <c r="D268" s="18">
        <v>7809517.5</v>
      </c>
      <c r="E268" s="18">
        <v>7607091.5</v>
      </c>
      <c r="F268" s="18">
        <v>12215914</v>
      </c>
      <c r="G268" s="18">
        <v>12006163</v>
      </c>
      <c r="H268" s="18">
        <v>11993544</v>
      </c>
      <c r="I268" s="18">
        <v>14.545918464660645</v>
      </c>
      <c r="J268" s="18">
        <v>13.480318069458008</v>
      </c>
      <c r="K268" s="18">
        <v>13.470351219177246</v>
      </c>
    </row>
    <row r="269" spans="2:11">
      <c r="B269" s="18">
        <v>14</v>
      </c>
      <c r="C269" s="19">
        <v>7728060</v>
      </c>
      <c r="D269" s="18">
        <v>8093269</v>
      </c>
      <c r="E269" s="18">
        <v>7389780.5</v>
      </c>
      <c r="F269" s="18">
        <v>11701625</v>
      </c>
      <c r="G269" s="18">
        <v>12173144</v>
      </c>
      <c r="H269" s="18">
        <v>11232391</v>
      </c>
      <c r="I269" s="18">
        <v>14.029301643371582</v>
      </c>
      <c r="J269" s="18">
        <v>14.548342704772949</v>
      </c>
      <c r="K269" s="18">
        <v>13.511692047119141</v>
      </c>
    </row>
    <row r="270" spans="2:11">
      <c r="B270" s="18">
        <v>14</v>
      </c>
      <c r="C270" s="19">
        <v>7854395.5</v>
      </c>
      <c r="D270" s="18">
        <v>7915243</v>
      </c>
      <c r="E270" s="18">
        <v>7642188</v>
      </c>
      <c r="F270" s="18">
        <v>12553862</v>
      </c>
      <c r="G270" s="18">
        <v>12934394</v>
      </c>
      <c r="H270" s="18">
        <v>12430491</v>
      </c>
      <c r="I270" s="18">
        <v>14.640422821044922</v>
      </c>
      <c r="J270" s="18">
        <v>15.285244941711426</v>
      </c>
      <c r="K270" s="18">
        <v>14.797565460205078</v>
      </c>
    </row>
    <row r="271" spans="2:11">
      <c r="B271" s="18">
        <v>14</v>
      </c>
      <c r="C271" s="19">
        <v>8000391.5</v>
      </c>
      <c r="D271" s="18">
        <v>8120441.5</v>
      </c>
      <c r="E271" s="18">
        <v>7828117.5</v>
      </c>
      <c r="F271" s="18">
        <v>12223687</v>
      </c>
      <c r="G271" s="18">
        <v>12080561</v>
      </c>
      <c r="H271" s="18">
        <v>11410974</v>
      </c>
      <c r="I271" s="18">
        <v>14.579719543457031</v>
      </c>
      <c r="J271" s="18">
        <v>14.265680313110352</v>
      </c>
      <c r="K271" s="18">
        <v>13.192511558532715</v>
      </c>
    </row>
    <row r="272" spans="2:11">
      <c r="B272" s="18">
        <v>16</v>
      </c>
      <c r="C272" s="19">
        <v>8173638</v>
      </c>
      <c r="D272" s="18">
        <v>8031129</v>
      </c>
      <c r="E272" s="18">
        <v>8162124</v>
      </c>
      <c r="F272" s="18">
        <v>12898733</v>
      </c>
      <c r="G272" s="18">
        <v>11811866</v>
      </c>
      <c r="H272" s="18">
        <v>11600109</v>
      </c>
      <c r="I272" s="18">
        <v>13.253626823425293</v>
      </c>
      <c r="J272" s="18">
        <v>12.902718544006348</v>
      </c>
      <c r="K272" s="18">
        <v>12.543542861938477</v>
      </c>
    </row>
    <row r="273" spans="2:11">
      <c r="B273" s="18">
        <v>16</v>
      </c>
      <c r="C273" s="19">
        <v>8255656</v>
      </c>
      <c r="D273" s="18">
        <v>8271307</v>
      </c>
      <c r="E273" s="18">
        <v>8556179</v>
      </c>
      <c r="F273" s="18">
        <v>11244851</v>
      </c>
      <c r="G273" s="18">
        <v>11300178</v>
      </c>
      <c r="H273" s="18">
        <v>10806330</v>
      </c>
      <c r="I273" s="18">
        <v>12.657204627990723</v>
      </c>
      <c r="J273" s="18">
        <v>13.503764152526855</v>
      </c>
      <c r="K273" s="18">
        <v>13.139355659484863</v>
      </c>
    </row>
    <row r="274" spans="2:11">
      <c r="B274" s="18">
        <v>16</v>
      </c>
      <c r="C274" s="19">
        <v>8254474.5</v>
      </c>
      <c r="D274" s="18">
        <v>8473358</v>
      </c>
      <c r="E274" s="18">
        <v>7676209</v>
      </c>
      <c r="F274" s="18">
        <v>11524431</v>
      </c>
      <c r="G274" s="18">
        <v>12173232</v>
      </c>
      <c r="H274" s="18">
        <v>10677633</v>
      </c>
      <c r="I274" s="18">
        <v>12.365331649780273</v>
      </c>
      <c r="J274" s="18">
        <v>13.210948944091797</v>
      </c>
      <c r="K274" s="18">
        <v>11.511418342590332</v>
      </c>
    </row>
    <row r="275" spans="2:11">
      <c r="B275" s="18">
        <v>16</v>
      </c>
      <c r="C275" s="19">
        <v>7966212</v>
      </c>
      <c r="D275" s="18">
        <v>8317584.5</v>
      </c>
      <c r="E275" s="18">
        <v>7883043.5</v>
      </c>
      <c r="F275" s="18">
        <v>11727766</v>
      </c>
      <c r="G275" s="18">
        <v>11959753</v>
      </c>
      <c r="H275" s="18">
        <v>11664555</v>
      </c>
      <c r="I275" s="18">
        <v>12.432517051696777</v>
      </c>
      <c r="J275" s="18">
        <v>13.307661056518555</v>
      </c>
      <c r="K275" s="18">
        <v>12.343708038330078</v>
      </c>
    </row>
    <row r="276" spans="2:11">
      <c r="B276" s="18">
        <v>16</v>
      </c>
      <c r="C276" s="19">
        <v>7875111.5</v>
      </c>
      <c r="D276" s="18">
        <v>8243674.5</v>
      </c>
      <c r="E276" s="18">
        <v>7702087</v>
      </c>
      <c r="F276" s="18">
        <v>11710593</v>
      </c>
      <c r="G276" s="18">
        <v>12160609</v>
      </c>
      <c r="H276" s="18">
        <v>11656918</v>
      </c>
      <c r="I276" s="18">
        <v>13.336048126220703</v>
      </c>
      <c r="J276" s="18">
        <v>14.013809204101563</v>
      </c>
      <c r="K276" s="18">
        <v>13.365761756896973</v>
      </c>
    </row>
    <row r="277" spans="2:11">
      <c r="B277" s="18">
        <v>16</v>
      </c>
      <c r="C277" s="19">
        <v>7934128</v>
      </c>
      <c r="D277" s="18">
        <v>7818656</v>
      </c>
      <c r="E277" s="18">
        <v>7986797</v>
      </c>
      <c r="F277" s="18">
        <v>11963218</v>
      </c>
      <c r="G277" s="18">
        <v>11949148</v>
      </c>
      <c r="H277" s="18">
        <v>11223580</v>
      </c>
      <c r="I277" s="18">
        <v>12.933283805847168</v>
      </c>
      <c r="J277" s="18">
        <v>13.192981719970703</v>
      </c>
      <c r="K277" s="18">
        <v>11.517033576965332</v>
      </c>
    </row>
    <row r="278" spans="2:11">
      <c r="B278" s="18">
        <v>16</v>
      </c>
      <c r="C278" s="19">
        <v>8407311</v>
      </c>
      <c r="D278" s="18">
        <v>8558772</v>
      </c>
      <c r="E278" s="18">
        <v>8656695</v>
      </c>
      <c r="F278" s="18">
        <v>11399862</v>
      </c>
      <c r="G278" s="18">
        <v>12398005</v>
      </c>
      <c r="H278" s="18">
        <v>10825650</v>
      </c>
      <c r="I278" s="18">
        <v>13.231673240661621</v>
      </c>
      <c r="J278" s="18">
        <v>14.011149406433105</v>
      </c>
      <c r="K278" s="18">
        <v>12.390887260437012</v>
      </c>
    </row>
    <row r="279" spans="2:11">
      <c r="B279" s="18">
        <v>16</v>
      </c>
      <c r="C279" s="19">
        <v>7660106.5</v>
      </c>
      <c r="D279" s="18">
        <v>7791179.5</v>
      </c>
      <c r="E279" s="18">
        <v>7853472</v>
      </c>
      <c r="F279" s="18">
        <v>10854669</v>
      </c>
      <c r="G279" s="18">
        <v>12025766</v>
      </c>
      <c r="H279" s="18">
        <v>10799526</v>
      </c>
      <c r="I279" s="18">
        <v>12.58937931060791</v>
      </c>
      <c r="J279" s="18">
        <v>13.477879524230957</v>
      </c>
      <c r="K279" s="18">
        <v>12.175084114074707</v>
      </c>
    </row>
    <row r="280" spans="2:11">
      <c r="B280" s="18">
        <v>16</v>
      </c>
      <c r="C280" s="19">
        <v>7910936.5</v>
      </c>
      <c r="D280" s="18">
        <v>7925122</v>
      </c>
      <c r="E280" s="18">
        <v>7708571.5</v>
      </c>
      <c r="F280" s="18">
        <v>10484049</v>
      </c>
      <c r="G280" s="18">
        <v>10881312</v>
      </c>
      <c r="H280" s="18">
        <v>10279113</v>
      </c>
      <c r="I280" s="18">
        <v>11.37157154083252</v>
      </c>
      <c r="J280" s="18">
        <v>11.946213722229004</v>
      </c>
      <c r="K280" s="18">
        <v>10.744527816772461</v>
      </c>
    </row>
    <row r="281" spans="2:11">
      <c r="B281" s="18">
        <v>16</v>
      </c>
      <c r="C281" s="19">
        <v>8238565</v>
      </c>
      <c r="D281" s="18">
        <v>8117695.5</v>
      </c>
      <c r="E281" s="18">
        <v>7693480</v>
      </c>
      <c r="F281" s="18">
        <v>10787807</v>
      </c>
      <c r="G281" s="18">
        <v>11296220</v>
      </c>
      <c r="H281" s="18">
        <v>10317567</v>
      </c>
      <c r="I281" s="18">
        <v>11.550826072692871</v>
      </c>
      <c r="J281" s="18">
        <v>11.90787410736084</v>
      </c>
      <c r="K281" s="18">
        <v>10.95261287689209</v>
      </c>
    </row>
    <row r="282" spans="2:11">
      <c r="B282" s="18">
        <v>16</v>
      </c>
      <c r="C282" s="19">
        <v>7944404.5</v>
      </c>
      <c r="D282" s="18">
        <v>8254566.5</v>
      </c>
      <c r="E282" s="18">
        <v>7930333</v>
      </c>
      <c r="F282" s="18">
        <v>10989460</v>
      </c>
      <c r="G282" s="18">
        <v>11637455</v>
      </c>
      <c r="H282" s="18">
        <v>11446975</v>
      </c>
      <c r="I282" s="18">
        <v>11.725277900695801</v>
      </c>
      <c r="J282" s="18">
        <v>12.118688583374023</v>
      </c>
      <c r="K282" s="18">
        <v>11.980181694030762</v>
      </c>
    </row>
    <row r="283" spans="2:11">
      <c r="B283" s="18">
        <v>16</v>
      </c>
      <c r="C283" s="19">
        <v>7853178.5</v>
      </c>
      <c r="D283" s="18">
        <v>7959137.5</v>
      </c>
      <c r="E283" s="18">
        <v>7706224</v>
      </c>
      <c r="F283" s="18">
        <v>10789814</v>
      </c>
      <c r="G283" s="18">
        <v>11216434</v>
      </c>
      <c r="H283" s="18">
        <v>11390313</v>
      </c>
      <c r="I283" s="18">
        <v>12.51411247253418</v>
      </c>
      <c r="J283" s="18">
        <v>12.910773277282715</v>
      </c>
      <c r="K283" s="18">
        <v>11.007442474365234</v>
      </c>
    </row>
    <row r="284" spans="2:11">
      <c r="B284" s="18">
        <v>16</v>
      </c>
      <c r="C284" s="19">
        <v>8113425</v>
      </c>
      <c r="D284" s="18">
        <v>8019954</v>
      </c>
      <c r="E284" s="18">
        <v>8047426.5</v>
      </c>
      <c r="F284" s="18">
        <v>11056820</v>
      </c>
      <c r="G284" s="18">
        <v>12023162</v>
      </c>
      <c r="H284" s="18">
        <v>11393236</v>
      </c>
      <c r="I284" s="18">
        <v>13.435583114624023</v>
      </c>
      <c r="J284" s="18">
        <v>13.731443405151367</v>
      </c>
      <c r="K284" s="18">
        <v>13.39962100982666</v>
      </c>
    </row>
    <row r="285" spans="2:11">
      <c r="B285" s="18">
        <v>16</v>
      </c>
      <c r="C285" s="19">
        <v>8218442.5</v>
      </c>
      <c r="D285" s="18">
        <v>7837295</v>
      </c>
      <c r="E285" s="18">
        <v>8290466</v>
      </c>
      <c r="F285" s="18">
        <v>11034964</v>
      </c>
      <c r="G285" s="18">
        <v>10901540</v>
      </c>
      <c r="H285" s="18">
        <v>10459996</v>
      </c>
      <c r="I285" s="18">
        <v>11.680556297302246</v>
      </c>
      <c r="J285" s="18">
        <v>12.045499801635742</v>
      </c>
      <c r="K285" s="18">
        <v>11.297384262084961</v>
      </c>
    </row>
    <row r="286" spans="2:11">
      <c r="B286" s="18">
        <v>16</v>
      </c>
      <c r="C286" s="19">
        <v>8112599</v>
      </c>
      <c r="D286" s="18">
        <v>8195968</v>
      </c>
      <c r="E286" s="18">
        <v>8011081.5</v>
      </c>
      <c r="F286" s="18">
        <v>11614383</v>
      </c>
      <c r="G286" s="18">
        <v>11895207</v>
      </c>
      <c r="H286" s="18">
        <v>11147448</v>
      </c>
      <c r="I286" s="18">
        <v>12.715913772583008</v>
      </c>
      <c r="J286" s="18">
        <v>13.114522933959961</v>
      </c>
      <c r="K286" s="18">
        <v>11.995940208435059</v>
      </c>
    </row>
    <row r="287" spans="2:11">
      <c r="B287" s="18">
        <v>16</v>
      </c>
      <c r="C287" s="19">
        <v>8253270</v>
      </c>
      <c r="D287" s="18">
        <v>8322871.5</v>
      </c>
      <c r="E287" s="18">
        <v>8107734.5</v>
      </c>
      <c r="F287" s="18">
        <v>12186666</v>
      </c>
      <c r="G287" s="18">
        <v>11458978</v>
      </c>
      <c r="H287" s="18">
        <v>11460104</v>
      </c>
      <c r="I287" s="18">
        <v>13.015888214111328</v>
      </c>
      <c r="J287" s="18">
        <v>12.753767967224121</v>
      </c>
      <c r="K287" s="18">
        <v>12.393796920776367</v>
      </c>
    </row>
    <row r="288" spans="2:11">
      <c r="B288" s="18">
        <v>16</v>
      </c>
      <c r="C288" s="19">
        <v>8524433</v>
      </c>
      <c r="D288" s="18">
        <v>8193206.5</v>
      </c>
      <c r="E288" s="18">
        <v>8522892</v>
      </c>
      <c r="F288" s="18">
        <v>10560381</v>
      </c>
      <c r="G288" s="18">
        <v>10890423</v>
      </c>
      <c r="H288" s="18">
        <v>10712429</v>
      </c>
      <c r="I288" s="18">
        <v>11.542300224304199</v>
      </c>
      <c r="J288" s="18">
        <v>11.876369476318359</v>
      </c>
      <c r="K288" s="18">
        <v>11.921449661254883</v>
      </c>
    </row>
    <row r="289" spans="2:11">
      <c r="B289" s="18">
        <v>16</v>
      </c>
      <c r="C289" s="19">
        <v>8133464</v>
      </c>
      <c r="D289" s="18">
        <v>8107564.5</v>
      </c>
      <c r="E289" s="18">
        <v>8187836</v>
      </c>
      <c r="F289" s="18">
        <v>10652278</v>
      </c>
      <c r="G289" s="18">
        <v>11175722</v>
      </c>
      <c r="H289" s="18">
        <v>11129678</v>
      </c>
      <c r="I289" s="18">
        <v>12.346470832824707</v>
      </c>
      <c r="J289" s="18">
        <v>12.349394798278809</v>
      </c>
      <c r="K289" s="18">
        <v>11.615405082702637</v>
      </c>
    </row>
    <row r="290" spans="2:11">
      <c r="B290" s="18">
        <v>16</v>
      </c>
      <c r="C290" s="19">
        <v>7845019</v>
      </c>
      <c r="D290" s="18">
        <v>8274385</v>
      </c>
      <c r="E290" s="18">
        <v>7966994</v>
      </c>
      <c r="F290" s="18">
        <v>11029832</v>
      </c>
      <c r="G290" s="18">
        <v>11427796</v>
      </c>
      <c r="H290" s="18">
        <v>10635595</v>
      </c>
      <c r="I290" s="18">
        <v>12.362719535827637</v>
      </c>
      <c r="J290" s="18">
        <v>13.659306526184082</v>
      </c>
      <c r="K290" s="18">
        <v>11.300616264343262</v>
      </c>
    </row>
    <row r="291" spans="2:11">
      <c r="B291" s="18">
        <v>16</v>
      </c>
      <c r="C291" s="19">
        <v>8361114.5</v>
      </c>
      <c r="D291" s="18">
        <v>8043279</v>
      </c>
      <c r="E291" s="18">
        <v>8235456.5</v>
      </c>
      <c r="F291" s="18">
        <v>11654055</v>
      </c>
      <c r="G291" s="18">
        <v>11598844</v>
      </c>
      <c r="H291" s="18">
        <v>11960229</v>
      </c>
      <c r="I291" s="18">
        <v>12.037400245666504</v>
      </c>
      <c r="J291" s="18">
        <v>13.417252540588379</v>
      </c>
      <c r="K291" s="18">
        <v>11.236264228820801</v>
      </c>
    </row>
    <row r="292" spans="2:11">
      <c r="B292" s="18">
        <v>16</v>
      </c>
      <c r="C292" s="19">
        <v>8305192</v>
      </c>
      <c r="D292" s="18">
        <v>7822472.5</v>
      </c>
      <c r="E292" s="18">
        <v>7953943.5</v>
      </c>
      <c r="F292" s="18">
        <v>11119068</v>
      </c>
      <c r="G292" s="18">
        <v>11415834</v>
      </c>
      <c r="H292" s="18">
        <v>10906687</v>
      </c>
      <c r="I292" s="18">
        <v>12.111712455749512</v>
      </c>
      <c r="J292" s="18">
        <v>12.443376541137695</v>
      </c>
      <c r="K292" s="18">
        <v>11.403496742248535</v>
      </c>
    </row>
    <row r="293" spans="2:11">
      <c r="B293" s="18">
        <v>16</v>
      </c>
      <c r="C293" s="19">
        <v>8752404</v>
      </c>
      <c r="D293" s="18">
        <v>8588630</v>
      </c>
      <c r="E293" s="18">
        <v>8099623.5</v>
      </c>
      <c r="F293" s="18">
        <v>12002617</v>
      </c>
      <c r="G293" s="18">
        <v>11356758</v>
      </c>
      <c r="H293" s="18">
        <v>10792936</v>
      </c>
      <c r="I293" s="18">
        <v>13.618136405944824</v>
      </c>
      <c r="J293" s="18">
        <v>13.696569442749023</v>
      </c>
      <c r="K293" s="18">
        <v>11.747463226318359</v>
      </c>
    </row>
    <row r="294" spans="2:11">
      <c r="B294" s="18">
        <v>16</v>
      </c>
      <c r="C294" s="19">
        <v>9076349</v>
      </c>
      <c r="D294" s="18">
        <v>8287516.5</v>
      </c>
      <c r="E294" s="18">
        <v>8620890</v>
      </c>
      <c r="F294" s="18">
        <v>11927447</v>
      </c>
      <c r="G294" s="18">
        <v>11939718</v>
      </c>
      <c r="H294" s="18">
        <v>11051227</v>
      </c>
      <c r="I294" s="18">
        <v>13.27534294128418</v>
      </c>
      <c r="J294" s="18">
        <v>13.496177673339844</v>
      </c>
      <c r="K294" s="18">
        <v>12.078479766845703</v>
      </c>
    </row>
    <row r="295" spans="2:11">
      <c r="B295" s="18">
        <v>16</v>
      </c>
      <c r="C295" s="19">
        <v>7697425</v>
      </c>
      <c r="D295" s="18">
        <v>7828313.5</v>
      </c>
      <c r="E295" s="18">
        <v>7708154</v>
      </c>
      <c r="F295" s="18">
        <v>10763324</v>
      </c>
      <c r="G295" s="18">
        <v>11337443</v>
      </c>
      <c r="H295" s="18">
        <v>10669419</v>
      </c>
      <c r="I295" s="18">
        <v>11.842018127441406</v>
      </c>
      <c r="J295" s="18">
        <v>12.579401969909668</v>
      </c>
      <c r="K295" s="18">
        <v>11.629790306091309</v>
      </c>
    </row>
    <row r="296" spans="2:11">
      <c r="B296" s="18">
        <v>16</v>
      </c>
      <c r="C296" s="19">
        <v>7935233</v>
      </c>
      <c r="D296" s="18">
        <v>7699703.5</v>
      </c>
      <c r="E296" s="18">
        <v>8048966</v>
      </c>
      <c r="F296" s="18">
        <v>11994059</v>
      </c>
      <c r="G296" s="18">
        <v>11710445</v>
      </c>
      <c r="H296" s="18">
        <v>10655617</v>
      </c>
      <c r="I296" s="18">
        <v>13.230360984802246</v>
      </c>
      <c r="J296" s="18">
        <v>13.223063468933105</v>
      </c>
      <c r="K296" s="18">
        <v>12.963818550109863</v>
      </c>
    </row>
    <row r="297" spans="2:11">
      <c r="B297" s="18">
        <v>16</v>
      </c>
      <c r="C297" s="19">
        <v>8107532</v>
      </c>
      <c r="D297" s="18">
        <v>7991730</v>
      </c>
      <c r="E297" s="18">
        <v>7742350</v>
      </c>
      <c r="F297" s="18">
        <v>11373440</v>
      </c>
      <c r="G297" s="18">
        <v>11965358</v>
      </c>
      <c r="H297" s="18">
        <v>10362839</v>
      </c>
      <c r="I297" s="18">
        <v>12.14671516418457</v>
      </c>
      <c r="J297" s="18">
        <v>12.656781196594238</v>
      </c>
      <c r="K297" s="18">
        <v>11.085857391357422</v>
      </c>
    </row>
    <row r="298" spans="2:11">
      <c r="B298" s="18">
        <v>16</v>
      </c>
      <c r="C298" s="19">
        <v>7997336</v>
      </c>
      <c r="D298" s="18">
        <v>7982585</v>
      </c>
      <c r="E298" s="18">
        <v>7551205.5</v>
      </c>
      <c r="F298" s="18">
        <v>11184513</v>
      </c>
      <c r="G298" s="18">
        <v>11299420</v>
      </c>
      <c r="H298" s="18">
        <v>10925141</v>
      </c>
      <c r="I298" s="18">
        <v>12.845704078674316</v>
      </c>
      <c r="J298" s="18">
        <v>12.99124813079834</v>
      </c>
      <c r="K298" s="18">
        <v>12.515718460083008</v>
      </c>
    </row>
    <row r="299" spans="2:11">
      <c r="B299" s="18">
        <v>16</v>
      </c>
      <c r="C299" s="19">
        <v>8221105</v>
      </c>
      <c r="D299" s="18">
        <v>7871619</v>
      </c>
      <c r="E299" s="18">
        <v>7840365.5</v>
      </c>
      <c r="F299" s="18">
        <v>11292946</v>
      </c>
      <c r="G299" s="18">
        <v>11722094</v>
      </c>
      <c r="H299" s="18">
        <v>11657651</v>
      </c>
      <c r="I299" s="18">
        <v>12.717411994934082</v>
      </c>
      <c r="J299" s="18">
        <v>12.254633903503418</v>
      </c>
      <c r="K299" s="18">
        <v>12.415860176086426</v>
      </c>
    </row>
    <row r="300" spans="2:11">
      <c r="B300" s="18">
        <v>16</v>
      </c>
      <c r="C300" s="19">
        <v>7659251.5</v>
      </c>
      <c r="D300" s="18">
        <v>7859900</v>
      </c>
      <c r="E300" s="18">
        <v>7742394</v>
      </c>
      <c r="F300" s="18">
        <v>11357326</v>
      </c>
      <c r="G300" s="18">
        <v>11542385</v>
      </c>
      <c r="H300" s="18">
        <v>10222960</v>
      </c>
      <c r="I300" s="18">
        <v>13.183059692382813</v>
      </c>
      <c r="J300" s="18">
        <v>13.482427597045898</v>
      </c>
      <c r="K300" s="18">
        <v>12.687498092651367</v>
      </c>
    </row>
    <row r="301" spans="2:11">
      <c r="B301" s="18">
        <v>16</v>
      </c>
      <c r="C301" s="19">
        <v>7727516</v>
      </c>
      <c r="D301" s="18">
        <v>8512291</v>
      </c>
      <c r="E301" s="18">
        <v>7661055</v>
      </c>
      <c r="F301" s="18">
        <v>11604888</v>
      </c>
      <c r="G301" s="18">
        <v>11946736</v>
      </c>
      <c r="H301" s="18">
        <v>11540415</v>
      </c>
      <c r="I301" s="18">
        <v>11.877049446105957</v>
      </c>
      <c r="J301" s="18">
        <v>11.964569091796875</v>
      </c>
      <c r="K301" s="18">
        <v>11.564970970153809</v>
      </c>
    </row>
    <row r="302" spans="2:11">
      <c r="B302" s="18">
        <v>16</v>
      </c>
      <c r="C302" s="19">
        <v>8426785</v>
      </c>
      <c r="D302" s="18">
        <v>8608008</v>
      </c>
      <c r="E302" s="18">
        <v>8460718</v>
      </c>
      <c r="F302" s="18">
        <v>11508758</v>
      </c>
      <c r="G302" s="18">
        <v>11486733</v>
      </c>
      <c r="H302" s="18">
        <v>11262957</v>
      </c>
      <c r="I302" s="18">
        <v>14.014244079589844</v>
      </c>
      <c r="J302" s="18">
        <v>13.529323577880859</v>
      </c>
      <c r="K302" s="18">
        <v>13.783147811889648</v>
      </c>
    </row>
    <row r="303" spans="2:11">
      <c r="B303" s="18">
        <v>16</v>
      </c>
      <c r="C303" s="19">
        <v>7814643.5</v>
      </c>
      <c r="D303" s="18">
        <v>7750661</v>
      </c>
      <c r="E303" s="18">
        <v>7763119</v>
      </c>
      <c r="F303" s="18">
        <v>11987763</v>
      </c>
      <c r="G303" s="18">
        <v>11515020</v>
      </c>
      <c r="H303" s="18">
        <v>11197417</v>
      </c>
      <c r="I303" s="18">
        <v>12.680547714233398</v>
      </c>
      <c r="J303" s="18">
        <v>13.756754875183105</v>
      </c>
      <c r="K303" s="18">
        <v>12.137601852416992</v>
      </c>
    </row>
    <row r="304" spans="2:11">
      <c r="B304" s="18">
        <v>16</v>
      </c>
      <c r="C304" s="19">
        <v>7898580.5</v>
      </c>
      <c r="D304" s="18">
        <v>8234527.5</v>
      </c>
      <c r="E304" s="18">
        <v>7848157.5</v>
      </c>
      <c r="F304" s="18">
        <v>11452806</v>
      </c>
      <c r="G304" s="18">
        <v>12433504</v>
      </c>
      <c r="H304" s="18">
        <v>11628513</v>
      </c>
      <c r="I304" s="18">
        <v>13.571408271789551</v>
      </c>
      <c r="J304" s="18">
        <v>13.685076713562012</v>
      </c>
      <c r="K304" s="18">
        <v>13.050511360168457</v>
      </c>
    </row>
    <row r="305" spans="2:11">
      <c r="B305" s="18">
        <v>16</v>
      </c>
      <c r="C305" s="19">
        <v>8837499</v>
      </c>
      <c r="D305" s="18">
        <v>8921709</v>
      </c>
      <c r="E305" s="18">
        <v>8516043</v>
      </c>
      <c r="F305" s="18">
        <v>12165984</v>
      </c>
      <c r="G305" s="18">
        <v>12233845</v>
      </c>
      <c r="H305" s="18">
        <v>11117627</v>
      </c>
      <c r="I305" s="18">
        <v>13.894631385803223</v>
      </c>
      <c r="J305" s="18">
        <v>14.117085456848145</v>
      </c>
      <c r="K305" s="18">
        <v>13.355295181274414</v>
      </c>
    </row>
    <row r="306" spans="2:11">
      <c r="B306" s="18">
        <v>16</v>
      </c>
      <c r="C306" s="19">
        <v>8312010</v>
      </c>
      <c r="D306" s="18">
        <v>8343542</v>
      </c>
      <c r="E306" s="18">
        <v>8016126</v>
      </c>
      <c r="F306" s="18">
        <v>11946776</v>
      </c>
      <c r="G306" s="18">
        <v>12282282</v>
      </c>
      <c r="H306" s="18">
        <v>12547949</v>
      </c>
      <c r="I306" s="18">
        <v>13.448319435119629</v>
      </c>
      <c r="J306" s="18">
        <v>14.081181526184082</v>
      </c>
      <c r="K306" s="18">
        <v>13.644285202026367</v>
      </c>
    </row>
    <row r="307" spans="2:11">
      <c r="B307" s="18">
        <v>16</v>
      </c>
      <c r="C307" s="19">
        <v>7963400</v>
      </c>
      <c r="D307" s="18">
        <v>7877086</v>
      </c>
      <c r="E307" s="18">
        <v>7670858.5</v>
      </c>
      <c r="F307" s="18">
        <v>11397208</v>
      </c>
      <c r="G307" s="18">
        <v>11497658</v>
      </c>
      <c r="H307" s="18">
        <v>11045713</v>
      </c>
      <c r="I307" s="18">
        <v>12.717849731445313</v>
      </c>
      <c r="J307" s="18">
        <v>13.641864776611328</v>
      </c>
      <c r="K307" s="18">
        <v>13.218656539916992</v>
      </c>
    </row>
    <row r="308" spans="2:11">
      <c r="B308" s="18">
        <v>16</v>
      </c>
      <c r="C308" s="19">
        <v>8769348</v>
      </c>
      <c r="D308" s="18">
        <v>9029024</v>
      </c>
      <c r="E308" s="18">
        <v>8102524</v>
      </c>
      <c r="F308" s="18">
        <v>11439401</v>
      </c>
      <c r="G308" s="18">
        <v>12176922</v>
      </c>
      <c r="H308" s="18">
        <v>10902542</v>
      </c>
      <c r="I308" s="18">
        <v>13.28940486907959</v>
      </c>
      <c r="J308" s="18">
        <v>14.112170219421387</v>
      </c>
      <c r="K308" s="18">
        <v>13.04362678527832</v>
      </c>
    </row>
    <row r="309" spans="2:11">
      <c r="B309" s="18">
        <v>16</v>
      </c>
      <c r="C309" s="19">
        <v>7958383</v>
      </c>
      <c r="D309" s="18">
        <v>8094033.5</v>
      </c>
      <c r="E309" s="18">
        <v>7654170.5</v>
      </c>
      <c r="F309" s="18">
        <v>11387923</v>
      </c>
      <c r="G309" s="18">
        <v>11301759</v>
      </c>
      <c r="H309" s="18">
        <v>10795173</v>
      </c>
      <c r="I309" s="18">
        <v>13.514224052429199</v>
      </c>
      <c r="J309" s="18">
        <v>13.571276664733887</v>
      </c>
      <c r="K309" s="18">
        <v>11.825268745422363</v>
      </c>
    </row>
    <row r="310" spans="2:11">
      <c r="B310" s="18">
        <v>16</v>
      </c>
      <c r="C310" s="19">
        <v>8401101</v>
      </c>
      <c r="D310" s="18">
        <v>8335519.5</v>
      </c>
      <c r="E310" s="18">
        <v>7827489.5</v>
      </c>
      <c r="F310" s="18">
        <v>11667073</v>
      </c>
      <c r="G310" s="18">
        <v>11302905</v>
      </c>
      <c r="H310" s="18">
        <v>11991041</v>
      </c>
      <c r="I310" s="18">
        <v>13.06353759765625</v>
      </c>
      <c r="J310" s="18">
        <v>13.51618766784668</v>
      </c>
      <c r="K310" s="18">
        <v>13.920162200927734</v>
      </c>
    </row>
    <row r="311" spans="2:11">
      <c r="B311" s="18">
        <v>16</v>
      </c>
      <c r="C311" s="19">
        <v>8398251</v>
      </c>
      <c r="D311" s="18">
        <v>8335518</v>
      </c>
      <c r="E311" s="18">
        <v>7881276.5</v>
      </c>
      <c r="F311" s="18">
        <v>12081634</v>
      </c>
      <c r="G311" s="18">
        <v>11132015</v>
      </c>
      <c r="H311" s="18">
        <v>11290560</v>
      </c>
      <c r="I311" s="18">
        <v>14.481236457824707</v>
      </c>
      <c r="J311" s="18">
        <v>13.872982025146484</v>
      </c>
      <c r="K311" s="18">
        <v>13.539457321166992</v>
      </c>
    </row>
    <row r="312" spans="2:11">
      <c r="B312" s="18">
        <v>16</v>
      </c>
      <c r="C312" s="19">
        <v>8090908</v>
      </c>
      <c r="D312" s="18">
        <v>8018962</v>
      </c>
      <c r="E312" s="18">
        <v>8068271</v>
      </c>
      <c r="F312" s="18">
        <v>11702362</v>
      </c>
      <c r="G312" s="18">
        <v>12207674</v>
      </c>
      <c r="H312" s="18">
        <v>11072288</v>
      </c>
      <c r="I312" s="18">
        <v>13.705740928649902</v>
      </c>
      <c r="J312" s="18">
        <v>13.994297981262207</v>
      </c>
      <c r="K312" s="18">
        <v>13.141617774963379</v>
      </c>
    </row>
    <row r="313" spans="2:11">
      <c r="B313" s="18">
        <v>16</v>
      </c>
      <c r="C313" s="19">
        <v>8650451</v>
      </c>
      <c r="D313" s="18">
        <v>8012373</v>
      </c>
      <c r="E313" s="18">
        <v>8850289</v>
      </c>
      <c r="F313" s="18">
        <v>10955261</v>
      </c>
      <c r="G313" s="18">
        <v>11245949</v>
      </c>
      <c r="H313" s="18">
        <v>11234013</v>
      </c>
      <c r="I313" s="18">
        <v>12.272551536560059</v>
      </c>
      <c r="J313" s="18">
        <v>12.904643058776855</v>
      </c>
      <c r="K313" s="18">
        <v>12.945170402526855</v>
      </c>
    </row>
    <row r="314" spans="2:11">
      <c r="B314" s="18">
        <v>16</v>
      </c>
      <c r="C314" s="19">
        <v>8285985</v>
      </c>
      <c r="D314" s="18">
        <v>8609569</v>
      </c>
      <c r="E314" s="18">
        <v>8841272</v>
      </c>
      <c r="F314" s="18">
        <v>12390430</v>
      </c>
      <c r="G314" s="18">
        <v>11593940</v>
      </c>
      <c r="H314" s="18">
        <v>11805622</v>
      </c>
      <c r="I314" s="18">
        <v>13.845535278320313</v>
      </c>
      <c r="J314" s="18">
        <v>13.552452087402344</v>
      </c>
      <c r="K314" s="18">
        <v>12.229354858398438</v>
      </c>
    </row>
    <row r="315" spans="2:11">
      <c r="B315" s="18">
        <v>16</v>
      </c>
      <c r="C315" s="19">
        <v>7853254</v>
      </c>
      <c r="D315" s="18">
        <v>7876635.5</v>
      </c>
      <c r="E315" s="18">
        <v>7857882.5</v>
      </c>
      <c r="F315" s="18">
        <v>11282732</v>
      </c>
      <c r="G315" s="18">
        <v>12597228</v>
      </c>
      <c r="H315" s="18">
        <v>11582523</v>
      </c>
      <c r="I315" s="18">
        <v>12.152807235717773</v>
      </c>
      <c r="J315" s="18">
        <v>13.822353363037109</v>
      </c>
      <c r="K315" s="18">
        <v>12.408412933349609</v>
      </c>
    </row>
    <row r="316" spans="2:11">
      <c r="B316" s="18">
        <v>16</v>
      </c>
      <c r="C316" s="19">
        <v>8655517</v>
      </c>
      <c r="D316" s="18">
        <v>8359343.5</v>
      </c>
      <c r="E316" s="18">
        <v>8422945</v>
      </c>
      <c r="F316" s="18">
        <v>11236086</v>
      </c>
      <c r="G316" s="18">
        <v>12003756</v>
      </c>
      <c r="H316" s="18">
        <v>11030214</v>
      </c>
      <c r="I316" s="18">
        <v>13.068722724914551</v>
      </c>
      <c r="J316" s="18">
        <v>12.852498054504395</v>
      </c>
      <c r="K316" s="18">
        <v>13.528200149536133</v>
      </c>
    </row>
    <row r="317" spans="2:11">
      <c r="B317" s="18">
        <v>16</v>
      </c>
      <c r="C317" s="19">
        <v>8433428</v>
      </c>
      <c r="D317" s="18">
        <v>8400598</v>
      </c>
      <c r="E317" s="18">
        <v>7971565</v>
      </c>
      <c r="F317" s="18">
        <v>11789901</v>
      </c>
      <c r="G317" s="18">
        <v>12358195</v>
      </c>
      <c r="H317" s="18">
        <v>11489084</v>
      </c>
      <c r="I317" s="18">
        <v>12.27009105682373</v>
      </c>
      <c r="J317" s="18">
        <v>13.402802467346191</v>
      </c>
      <c r="K317" s="18">
        <v>12.964630126953125</v>
      </c>
    </row>
    <row r="318" spans="2:11">
      <c r="B318" s="18">
        <v>16</v>
      </c>
      <c r="C318" s="19">
        <v>8729963</v>
      </c>
      <c r="D318" s="18">
        <v>8367111.5</v>
      </c>
      <c r="E318" s="18">
        <v>7856933</v>
      </c>
      <c r="F318" s="18">
        <v>11272818</v>
      </c>
      <c r="G318" s="18">
        <v>11954554</v>
      </c>
      <c r="H318" s="18">
        <v>11028460</v>
      </c>
      <c r="I318" s="18">
        <v>13.013371467590332</v>
      </c>
      <c r="J318" s="18">
        <v>12.145266532897949</v>
      </c>
      <c r="K318" s="18">
        <v>12.815864562988281</v>
      </c>
    </row>
    <row r="319" spans="2:11">
      <c r="B319" s="18">
        <v>16</v>
      </c>
      <c r="C319" s="19">
        <v>8236256.5</v>
      </c>
      <c r="D319" s="18">
        <v>8094044</v>
      </c>
      <c r="E319" s="18">
        <v>7991544</v>
      </c>
      <c r="F319" s="18">
        <v>11570802</v>
      </c>
      <c r="G319" s="18">
        <v>12485513</v>
      </c>
      <c r="H319" s="18">
        <v>12574141</v>
      </c>
      <c r="I319" s="18">
        <v>14.440387725830078</v>
      </c>
      <c r="J319" s="18">
        <v>13.095564842224121</v>
      </c>
      <c r="K319" s="18">
        <v>14.158709526062012</v>
      </c>
    </row>
    <row r="320" spans="2:11">
      <c r="B320" s="18">
        <v>16</v>
      </c>
      <c r="C320" s="19">
        <v>8839755</v>
      </c>
      <c r="D320" s="18">
        <v>8559763</v>
      </c>
      <c r="E320" s="18">
        <v>8509970</v>
      </c>
      <c r="F320" s="18">
        <v>11275379</v>
      </c>
      <c r="G320" s="18">
        <v>11168601</v>
      </c>
      <c r="H320" s="18">
        <v>10808842</v>
      </c>
      <c r="I320" s="18">
        <v>11.732558250427246</v>
      </c>
      <c r="J320" s="18">
        <v>11.974716186523438</v>
      </c>
      <c r="K320" s="18">
        <v>11.135532379150391</v>
      </c>
    </row>
    <row r="321" spans="2:11">
      <c r="B321" s="18">
        <v>16</v>
      </c>
      <c r="C321" s="19">
        <v>8591454</v>
      </c>
      <c r="D321" s="18">
        <v>8161166</v>
      </c>
      <c r="E321" s="18">
        <v>8197659</v>
      </c>
      <c r="F321" s="18">
        <v>12097741</v>
      </c>
      <c r="G321" s="18">
        <v>12782068</v>
      </c>
      <c r="H321" s="18">
        <v>11477879</v>
      </c>
      <c r="I321" s="18">
        <v>14.521425247192383</v>
      </c>
      <c r="J321" s="18">
        <v>14.278458595275879</v>
      </c>
      <c r="K321" s="18">
        <v>13.66074275970459</v>
      </c>
    </row>
    <row r="322" spans="2:11">
      <c r="B322" s="18">
        <v>16</v>
      </c>
      <c r="C322" s="19">
        <v>8289744.5</v>
      </c>
      <c r="D322" s="18">
        <v>8389572</v>
      </c>
      <c r="E322" s="18">
        <v>8129776.5</v>
      </c>
      <c r="F322" s="18">
        <v>12805828</v>
      </c>
      <c r="G322" s="18">
        <v>12208124</v>
      </c>
      <c r="H322" s="18">
        <v>12428162</v>
      </c>
      <c r="I322" s="18">
        <v>14.080909729003906</v>
      </c>
      <c r="J322" s="18">
        <v>13.498769760131836</v>
      </c>
      <c r="K322" s="18">
        <v>13.597248077392578</v>
      </c>
    </row>
    <row r="323" spans="2:11">
      <c r="B323" s="18">
        <v>16</v>
      </c>
      <c r="C323" s="19">
        <v>8449344</v>
      </c>
      <c r="D323" s="18">
        <v>8338039</v>
      </c>
      <c r="E323" s="18">
        <v>8792875</v>
      </c>
      <c r="F323" s="18">
        <v>12466427</v>
      </c>
      <c r="G323" s="18">
        <v>12411018</v>
      </c>
      <c r="H323" s="18">
        <v>11482542</v>
      </c>
      <c r="I323" s="18">
        <v>13.08958911895752</v>
      </c>
      <c r="J323" s="18">
        <v>12.781394958496094</v>
      </c>
      <c r="K323" s="18">
        <v>11.989179611206055</v>
      </c>
    </row>
    <row r="324" spans="2:11">
      <c r="B324" s="18">
        <v>16</v>
      </c>
      <c r="C324" s="19">
        <v>8705974</v>
      </c>
      <c r="D324" s="18">
        <v>8263132.5</v>
      </c>
      <c r="E324" s="18">
        <v>8263530.5</v>
      </c>
      <c r="F324" s="18">
        <v>11455087</v>
      </c>
      <c r="G324" s="18">
        <v>11258842</v>
      </c>
      <c r="H324" s="18">
        <v>11740728</v>
      </c>
      <c r="I324" s="18">
        <v>12.290148735046387</v>
      </c>
      <c r="J324" s="18">
        <v>12.571346282958984</v>
      </c>
      <c r="K324" s="18">
        <v>12.225981712341309</v>
      </c>
    </row>
    <row r="325" spans="2:11">
      <c r="B325" s="18">
        <v>16</v>
      </c>
      <c r="C325" s="19">
        <v>8172608</v>
      </c>
      <c r="D325" s="18">
        <v>8450458</v>
      </c>
      <c r="E325" s="18">
        <v>8063462</v>
      </c>
      <c r="F325" s="18">
        <v>11929814</v>
      </c>
      <c r="G325" s="18">
        <v>12035150</v>
      </c>
      <c r="H325" s="18">
        <v>11074827</v>
      </c>
      <c r="I325" s="18">
        <v>14.129061698913574</v>
      </c>
      <c r="J325" s="18">
        <v>13.862210273742676</v>
      </c>
      <c r="K325" s="18">
        <v>12.784431457519531</v>
      </c>
    </row>
    <row r="326" spans="2:11">
      <c r="B326" s="18">
        <v>16</v>
      </c>
      <c r="C326" s="19">
        <v>8474190</v>
      </c>
      <c r="D326" s="18">
        <v>8235399</v>
      </c>
      <c r="E326" s="18">
        <v>8060546.5</v>
      </c>
      <c r="F326" s="18">
        <v>11059090</v>
      </c>
      <c r="G326" s="18">
        <v>11761902</v>
      </c>
      <c r="H326" s="18">
        <v>11202720</v>
      </c>
      <c r="I326" s="18">
        <v>13.357977867126465</v>
      </c>
      <c r="J326" s="18">
        <v>13.300056457519531</v>
      </c>
      <c r="K326" s="18">
        <v>13.267777442932129</v>
      </c>
    </row>
    <row r="327" spans="2:11">
      <c r="B327" s="18">
        <v>16</v>
      </c>
      <c r="C327" s="19">
        <v>8001769</v>
      </c>
      <c r="D327" s="18">
        <v>7788169.5</v>
      </c>
      <c r="E327" s="18">
        <v>7866022.5</v>
      </c>
      <c r="F327" s="18">
        <v>11532981</v>
      </c>
      <c r="G327" s="18">
        <v>12228232</v>
      </c>
      <c r="H327" s="18">
        <v>12340678</v>
      </c>
      <c r="I327" s="18">
        <v>14.256180763244629</v>
      </c>
      <c r="J327" s="18">
        <v>14.367193222045898</v>
      </c>
      <c r="K327" s="18">
        <v>14.398818969726563</v>
      </c>
    </row>
    <row r="328" spans="2:11">
      <c r="B328" s="18">
        <v>16</v>
      </c>
      <c r="C328" s="19">
        <v>8084945.5</v>
      </c>
      <c r="D328" s="18">
        <v>7861591.5</v>
      </c>
      <c r="E328" s="18">
        <v>8070404</v>
      </c>
      <c r="F328" s="18">
        <v>10656139</v>
      </c>
      <c r="G328" s="18">
        <v>11064250</v>
      </c>
      <c r="H328" s="18">
        <v>10366945</v>
      </c>
      <c r="I328" s="18">
        <v>12.288455963134766</v>
      </c>
      <c r="J328" s="18">
        <v>12.548006057739258</v>
      </c>
      <c r="K328" s="18">
        <v>11.645009994506836</v>
      </c>
    </row>
    <row r="329" spans="2:11">
      <c r="B329" s="18">
        <v>16</v>
      </c>
      <c r="C329" s="19">
        <v>8035142.5</v>
      </c>
      <c r="D329" s="18">
        <v>8006188</v>
      </c>
      <c r="E329" s="18">
        <v>8057502</v>
      </c>
      <c r="F329" s="18">
        <v>11175374</v>
      </c>
      <c r="G329" s="18">
        <v>11682271</v>
      </c>
      <c r="H329" s="18">
        <v>10143653</v>
      </c>
      <c r="I329" s="18">
        <v>12.02281379699707</v>
      </c>
      <c r="J329" s="18">
        <v>12.583495140075684</v>
      </c>
      <c r="K329" s="18">
        <v>11.840861320495605</v>
      </c>
    </row>
    <row r="330" spans="2:11">
      <c r="B330" s="18">
        <v>16</v>
      </c>
      <c r="C330" s="19">
        <v>8451769</v>
      </c>
      <c r="D330" s="18">
        <v>8293807.5</v>
      </c>
      <c r="E330" s="18">
        <v>8123590</v>
      </c>
      <c r="F330" s="18">
        <v>11718114</v>
      </c>
      <c r="G330" s="18">
        <v>12825847</v>
      </c>
      <c r="H330" s="18">
        <v>12592588</v>
      </c>
      <c r="I330" s="18">
        <v>14.415276527404785</v>
      </c>
      <c r="J330" s="18">
        <v>14.472825050354004</v>
      </c>
      <c r="K330" s="18">
        <v>14.308362007141113</v>
      </c>
    </row>
    <row r="331" spans="2:11">
      <c r="B331" s="18">
        <v>16</v>
      </c>
      <c r="C331" s="19">
        <v>8377389.5</v>
      </c>
      <c r="D331" s="18">
        <v>8814332</v>
      </c>
      <c r="E331" s="18">
        <v>8378931</v>
      </c>
      <c r="F331" s="18">
        <v>11659109</v>
      </c>
      <c r="G331" s="18">
        <v>12273257</v>
      </c>
      <c r="H331" s="18">
        <v>11540643</v>
      </c>
      <c r="I331" s="18">
        <v>12.177936553955078</v>
      </c>
      <c r="J331" s="18">
        <v>12.898942947387695</v>
      </c>
      <c r="K331" s="18">
        <v>12.038972854614258</v>
      </c>
    </row>
    <row r="332" spans="2:11">
      <c r="B332" s="18">
        <v>16</v>
      </c>
      <c r="C332" s="19">
        <v>8156420</v>
      </c>
      <c r="D332" s="18">
        <v>8149549.5</v>
      </c>
      <c r="E332" s="18">
        <v>7773537</v>
      </c>
      <c r="F332" s="18">
        <v>11836515</v>
      </c>
      <c r="G332" s="18">
        <v>12285712</v>
      </c>
      <c r="H332" s="18">
        <v>11719768</v>
      </c>
      <c r="I332" s="18">
        <v>12.296833992004395</v>
      </c>
      <c r="J332" s="18">
        <v>13.019942283630371</v>
      </c>
      <c r="K332" s="18">
        <v>12.120821952819824</v>
      </c>
    </row>
    <row r="333" spans="2:11">
      <c r="B333" s="18">
        <v>16</v>
      </c>
      <c r="C333" s="19">
        <v>7713847</v>
      </c>
      <c r="D333" s="18">
        <v>7713656.5</v>
      </c>
      <c r="E333" s="18">
        <v>7756976</v>
      </c>
      <c r="F333" s="18">
        <v>11192988</v>
      </c>
      <c r="G333" s="18">
        <v>11160274</v>
      </c>
      <c r="H333" s="18">
        <v>11601860</v>
      </c>
      <c r="I333" s="18">
        <v>12.832850456237793</v>
      </c>
      <c r="J333" s="18">
        <v>13.279438018798828</v>
      </c>
      <c r="K333" s="18">
        <v>13.047579765319824</v>
      </c>
    </row>
    <row r="334" spans="2:11">
      <c r="B334" s="18">
        <v>16</v>
      </c>
      <c r="C334" s="19">
        <v>7956205.5</v>
      </c>
      <c r="D334" s="18">
        <v>7983932</v>
      </c>
      <c r="E334" s="18">
        <v>7743967</v>
      </c>
      <c r="F334" s="18">
        <v>11461545</v>
      </c>
      <c r="G334" s="18">
        <v>12162335</v>
      </c>
      <c r="H334" s="18">
        <v>11713603</v>
      </c>
      <c r="I334" s="18">
        <v>14.540904998779297</v>
      </c>
      <c r="J334" s="18">
        <v>13.904775619506836</v>
      </c>
      <c r="K334" s="18">
        <v>13.847309112548828</v>
      </c>
    </row>
    <row r="335" spans="2:11">
      <c r="B335" s="18">
        <v>16</v>
      </c>
      <c r="C335" s="19">
        <v>8047051.5</v>
      </c>
      <c r="D335" s="18">
        <v>8349707.5</v>
      </c>
      <c r="E335" s="18">
        <v>7942665</v>
      </c>
      <c r="F335" s="18">
        <v>11398984</v>
      </c>
      <c r="G335" s="18">
        <v>12057456</v>
      </c>
      <c r="H335" s="18">
        <v>11585486</v>
      </c>
      <c r="I335" s="18">
        <v>13.251519203186035</v>
      </c>
      <c r="J335" s="18">
        <v>13.203254699707031</v>
      </c>
      <c r="K335" s="18">
        <v>12.027817726135254</v>
      </c>
    </row>
    <row r="336" spans="2:11">
      <c r="B336" s="18">
        <v>16</v>
      </c>
      <c r="C336" s="19">
        <v>7922986</v>
      </c>
      <c r="D336" s="18">
        <v>7846489</v>
      </c>
      <c r="E336" s="18">
        <v>7864692</v>
      </c>
      <c r="F336" s="18">
        <v>10968623</v>
      </c>
      <c r="G336" s="18">
        <v>11917583</v>
      </c>
      <c r="H336" s="18">
        <v>11081288</v>
      </c>
      <c r="I336" s="18">
        <v>13.086817741394043</v>
      </c>
      <c r="J336" s="18">
        <v>12.860851287841797</v>
      </c>
      <c r="K336" s="18">
        <v>12.223092079162598</v>
      </c>
    </row>
    <row r="337" spans="2:11">
      <c r="B337" s="18">
        <v>16</v>
      </c>
      <c r="C337" s="19">
        <v>7845758</v>
      </c>
      <c r="D337" s="18">
        <v>7729127.5</v>
      </c>
      <c r="E337" s="18">
        <v>7514398.5</v>
      </c>
      <c r="F337" s="18">
        <v>10555374</v>
      </c>
      <c r="G337" s="18">
        <v>11693453</v>
      </c>
      <c r="H337" s="18">
        <v>10495763</v>
      </c>
      <c r="I337" s="18">
        <v>12.693722724914551</v>
      </c>
      <c r="J337" s="18">
        <v>12.953222274780273</v>
      </c>
      <c r="K337" s="18">
        <v>12.111031532287598</v>
      </c>
    </row>
    <row r="338" spans="2:11">
      <c r="B338" s="18">
        <v>16</v>
      </c>
      <c r="C338" s="19">
        <v>7935955</v>
      </c>
      <c r="D338" s="18">
        <v>7882126.5</v>
      </c>
      <c r="E338" s="18">
        <v>7969469</v>
      </c>
      <c r="F338" s="18">
        <v>11938934</v>
      </c>
      <c r="G338" s="18">
        <v>11386782</v>
      </c>
      <c r="H338" s="18">
        <v>11144373</v>
      </c>
      <c r="I338" s="18">
        <v>12.067221641540527</v>
      </c>
      <c r="J338" s="18">
        <v>12.711462020874023</v>
      </c>
      <c r="K338" s="18">
        <v>11.230951309204102</v>
      </c>
    </row>
    <row r="339" spans="2:11">
      <c r="B339" s="18">
        <v>16</v>
      </c>
      <c r="C339" s="19">
        <v>8334382.5</v>
      </c>
      <c r="D339" s="18">
        <v>8047815</v>
      </c>
      <c r="E339" s="18">
        <v>8261664</v>
      </c>
      <c r="F339" s="18">
        <v>10489487</v>
      </c>
      <c r="G339" s="18">
        <v>11027461</v>
      </c>
      <c r="H339" s="18">
        <v>10718463</v>
      </c>
      <c r="I339" s="18">
        <v>11.582034111022949</v>
      </c>
      <c r="J339" s="18">
        <v>11.857151031494141</v>
      </c>
      <c r="K339" s="18">
        <v>11.173792839050293</v>
      </c>
    </row>
    <row r="340" spans="2:11">
      <c r="B340" s="18">
        <v>16</v>
      </c>
      <c r="C340" s="19">
        <v>7416709.5</v>
      </c>
      <c r="D340" s="18">
        <v>7655680</v>
      </c>
      <c r="E340" s="18">
        <v>7627374</v>
      </c>
      <c r="F340" s="18">
        <v>11804915</v>
      </c>
      <c r="G340" s="18">
        <v>11362156</v>
      </c>
      <c r="H340" s="18">
        <v>11329514</v>
      </c>
      <c r="I340" s="18">
        <v>14.545557975769043</v>
      </c>
      <c r="J340" s="18">
        <v>13.854306221008301</v>
      </c>
      <c r="K340" s="18">
        <v>12.213309288024902</v>
      </c>
    </row>
    <row r="341" spans="2:11">
      <c r="B341" s="18">
        <v>16</v>
      </c>
      <c r="C341" s="19">
        <v>8383804</v>
      </c>
      <c r="D341" s="18">
        <v>8346315.5</v>
      </c>
      <c r="E341" s="18">
        <v>8175713.5</v>
      </c>
      <c r="F341" s="18">
        <v>12043956</v>
      </c>
      <c r="G341" s="18">
        <v>12087064</v>
      </c>
      <c r="H341" s="18">
        <v>10891801</v>
      </c>
      <c r="I341" s="18">
        <v>13.213775634765625</v>
      </c>
      <c r="J341" s="18">
        <v>13.754462242126465</v>
      </c>
      <c r="K341" s="18">
        <v>12.637834548950195</v>
      </c>
    </row>
    <row r="342" spans="2:11">
      <c r="B342" s="18">
        <v>16</v>
      </c>
      <c r="C342" s="19">
        <v>7947880</v>
      </c>
      <c r="D342" s="18">
        <v>7990212</v>
      </c>
      <c r="E342" s="18">
        <v>7921203</v>
      </c>
      <c r="F342" s="18">
        <v>12418160</v>
      </c>
      <c r="G342" s="18">
        <v>11406333</v>
      </c>
      <c r="H342" s="18">
        <v>11481447</v>
      </c>
      <c r="I342" s="18">
        <v>13.354397773742676</v>
      </c>
      <c r="J342" s="18">
        <v>12.429347991943359</v>
      </c>
      <c r="K342" s="18">
        <v>12.057106971740723</v>
      </c>
    </row>
    <row r="343" spans="2:11">
      <c r="B343" s="18">
        <v>16</v>
      </c>
      <c r="C343" s="19">
        <v>7961261.5</v>
      </c>
      <c r="D343" s="18">
        <v>7772096</v>
      </c>
      <c r="E343" s="18">
        <v>7597963</v>
      </c>
      <c r="F343" s="18">
        <v>12019555</v>
      </c>
      <c r="G343" s="18">
        <v>12489960</v>
      </c>
      <c r="H343" s="18">
        <v>12390564</v>
      </c>
      <c r="I343" s="18">
        <v>14.262596130371094</v>
      </c>
      <c r="J343" s="18">
        <v>13.640674591064453</v>
      </c>
      <c r="K343" s="18">
        <v>14.001006126403809</v>
      </c>
    </row>
    <row r="344" spans="2:11">
      <c r="B344" s="18">
        <v>16</v>
      </c>
      <c r="C344" s="19">
        <v>8004205.5</v>
      </c>
      <c r="D344" s="18">
        <v>8000739.5</v>
      </c>
      <c r="E344" s="18">
        <v>8035201.5</v>
      </c>
      <c r="F344" s="18">
        <v>11301784</v>
      </c>
      <c r="G344" s="18">
        <v>11671893</v>
      </c>
      <c r="H344" s="18">
        <v>10868509</v>
      </c>
      <c r="I344" s="18">
        <v>12.920888900756836</v>
      </c>
      <c r="J344" s="18">
        <v>13.293807983398438</v>
      </c>
      <c r="K344" s="18">
        <v>11.742458343505859</v>
      </c>
    </row>
    <row r="345" spans="2:11">
      <c r="B345" s="18">
        <v>16</v>
      </c>
      <c r="C345" s="19">
        <v>8460817</v>
      </c>
      <c r="D345" s="18">
        <v>7958767</v>
      </c>
      <c r="E345" s="18">
        <v>7641075</v>
      </c>
      <c r="F345" s="18">
        <v>11960495</v>
      </c>
      <c r="G345" s="18">
        <v>11406153</v>
      </c>
      <c r="H345" s="18">
        <v>12171002</v>
      </c>
      <c r="I345" s="18">
        <v>13.687596321105957</v>
      </c>
      <c r="J345" s="18">
        <v>13.494452476501465</v>
      </c>
      <c r="K345" s="18">
        <v>12.962503433227539</v>
      </c>
    </row>
    <row r="346" spans="2:11">
      <c r="B346" s="18">
        <v>16</v>
      </c>
      <c r="C346" s="19">
        <v>8142493</v>
      </c>
      <c r="D346" s="18">
        <v>8081637.5</v>
      </c>
      <c r="E346" s="18">
        <v>7468808.5</v>
      </c>
      <c r="F346" s="18">
        <v>11426400</v>
      </c>
      <c r="G346" s="18">
        <v>11597001</v>
      </c>
      <c r="H346" s="18">
        <v>11275464</v>
      </c>
      <c r="I346" s="18">
        <v>13.218448638916016</v>
      </c>
      <c r="J346" s="18">
        <v>13.195843696594238</v>
      </c>
      <c r="K346" s="18">
        <v>12.663420677185059</v>
      </c>
    </row>
    <row r="347" spans="2:11">
      <c r="B347" s="18">
        <v>16</v>
      </c>
      <c r="C347" s="19">
        <v>7924247</v>
      </c>
      <c r="D347" s="18">
        <v>8053914.5</v>
      </c>
      <c r="E347" s="18">
        <v>7802435</v>
      </c>
      <c r="F347" s="18">
        <v>11217199</v>
      </c>
      <c r="G347" s="18">
        <v>11360765</v>
      </c>
      <c r="H347" s="18">
        <v>10992909</v>
      </c>
      <c r="I347" s="18">
        <v>12.33016300201416</v>
      </c>
      <c r="J347" s="18">
        <v>12.538472175598145</v>
      </c>
      <c r="K347" s="18">
        <v>12.153300285339355</v>
      </c>
    </row>
    <row r="348" spans="2:11">
      <c r="B348" s="18">
        <v>16</v>
      </c>
      <c r="C348" s="19">
        <v>8388089.5</v>
      </c>
      <c r="D348" s="18">
        <v>8168997</v>
      </c>
      <c r="E348" s="18">
        <v>7911306</v>
      </c>
      <c r="F348" s="18">
        <v>10966496</v>
      </c>
      <c r="G348" s="18">
        <v>12250027</v>
      </c>
      <c r="H348" s="18">
        <v>11562511</v>
      </c>
      <c r="I348" s="18">
        <v>11.253711700439453</v>
      </c>
      <c r="J348" s="18">
        <v>11.98664379119873</v>
      </c>
      <c r="K348" s="18">
        <v>12.03697681427002</v>
      </c>
    </row>
    <row r="349" spans="2:11">
      <c r="B349" s="18">
        <v>16</v>
      </c>
      <c r="C349" s="19">
        <v>7902841</v>
      </c>
      <c r="D349" s="18">
        <v>7709123</v>
      </c>
      <c r="E349" s="18">
        <v>7619662.5</v>
      </c>
      <c r="F349" s="18">
        <v>11992069</v>
      </c>
      <c r="G349" s="18">
        <v>12982067</v>
      </c>
      <c r="H349" s="18">
        <v>12608457</v>
      </c>
      <c r="I349" s="18">
        <v>12.860856056213379</v>
      </c>
      <c r="J349" s="18">
        <v>14.329156875610352</v>
      </c>
      <c r="K349" s="18">
        <v>13.554408073425293</v>
      </c>
    </row>
    <row r="350" spans="2:11">
      <c r="B350" s="18">
        <v>16</v>
      </c>
      <c r="C350" s="19">
        <v>8202266.5</v>
      </c>
      <c r="D350" s="18">
        <v>7772165.5</v>
      </c>
      <c r="E350" s="18">
        <v>7710879</v>
      </c>
      <c r="F350" s="18">
        <v>10910447</v>
      </c>
      <c r="G350" s="18">
        <v>11178358</v>
      </c>
      <c r="H350" s="18">
        <v>11690396</v>
      </c>
      <c r="I350" s="18">
        <v>12.942007064819336</v>
      </c>
      <c r="J350" s="18">
        <v>13.510305404663086</v>
      </c>
      <c r="K350" s="18">
        <v>12.641036987304688</v>
      </c>
    </row>
    <row r="351" spans="2:11">
      <c r="B351" s="18">
        <v>16</v>
      </c>
      <c r="C351" s="19">
        <v>7860146</v>
      </c>
      <c r="D351" s="18">
        <v>7643642.5</v>
      </c>
      <c r="E351" s="18">
        <v>7514466</v>
      </c>
      <c r="F351" s="18">
        <v>10631443</v>
      </c>
      <c r="G351" s="18">
        <v>11164696</v>
      </c>
      <c r="H351" s="18">
        <v>10695050</v>
      </c>
      <c r="I351" s="18">
        <v>11.984683036804199</v>
      </c>
      <c r="J351" s="18">
        <v>12.711570739746094</v>
      </c>
      <c r="K351" s="18">
        <v>11.953132629394531</v>
      </c>
    </row>
    <row r="352" spans="2:11">
      <c r="B352" s="18">
        <v>16</v>
      </c>
      <c r="C352" s="19">
        <v>8018407.5</v>
      </c>
      <c r="D352" s="18">
        <v>8049778</v>
      </c>
      <c r="E352" s="18">
        <v>8010041</v>
      </c>
      <c r="F352" s="18">
        <v>11507633</v>
      </c>
      <c r="G352" s="18">
        <v>11456186</v>
      </c>
      <c r="H352" s="18">
        <v>11048389</v>
      </c>
      <c r="I352" s="18">
        <v>12.612662315368652</v>
      </c>
      <c r="J352" s="18">
        <v>12.876514434814453</v>
      </c>
      <c r="K352" s="18">
        <v>12.007028579711914</v>
      </c>
    </row>
    <row r="353" spans="2:11">
      <c r="B353" s="18">
        <v>16</v>
      </c>
      <c r="C353" s="19">
        <v>8629472</v>
      </c>
      <c r="D353" s="18">
        <v>8756720</v>
      </c>
      <c r="E353" s="18">
        <v>8461951</v>
      </c>
      <c r="F353" s="18">
        <v>10792083</v>
      </c>
      <c r="G353" s="18">
        <v>12267537</v>
      </c>
      <c r="H353" s="18">
        <v>10168158</v>
      </c>
      <c r="I353" s="18">
        <v>12.031924247741699</v>
      </c>
      <c r="J353" s="18">
        <v>12.775029182434082</v>
      </c>
      <c r="K353" s="18">
        <v>10.819592475891113</v>
      </c>
    </row>
    <row r="354" spans="2:11">
      <c r="B354" s="18">
        <v>16</v>
      </c>
      <c r="C354" s="19">
        <v>7870050</v>
      </c>
      <c r="D354" s="18">
        <v>7748413</v>
      </c>
      <c r="E354" s="18">
        <v>7650388.5</v>
      </c>
      <c r="F354" s="18">
        <v>12477911</v>
      </c>
      <c r="G354" s="18">
        <v>12017843</v>
      </c>
      <c r="H354" s="18">
        <v>11703224</v>
      </c>
      <c r="I354" s="18">
        <v>13.572399139404297</v>
      </c>
      <c r="J354" s="18">
        <v>13.380290031433105</v>
      </c>
      <c r="K354" s="18">
        <v>12.356073379516602</v>
      </c>
    </row>
    <row r="355" spans="2:11">
      <c r="B355" s="18">
        <v>16</v>
      </c>
      <c r="C355" s="19">
        <v>7567257</v>
      </c>
      <c r="D355" s="18">
        <v>7660602</v>
      </c>
      <c r="E355" s="18">
        <v>7480482.5</v>
      </c>
      <c r="F355" s="18">
        <v>11371810</v>
      </c>
      <c r="G355" s="18">
        <v>11293029</v>
      </c>
      <c r="H355" s="18">
        <v>10467490</v>
      </c>
      <c r="I355" s="18">
        <v>12.818526268005371</v>
      </c>
      <c r="J355" s="18">
        <v>12.912376403808594</v>
      </c>
      <c r="K355" s="18">
        <v>12.159712791442871</v>
      </c>
    </row>
    <row r="356" spans="2:11">
      <c r="B356" s="18">
        <v>16</v>
      </c>
      <c r="C356" s="19">
        <v>8207524.5</v>
      </c>
      <c r="D356" s="18">
        <v>8044917.5</v>
      </c>
      <c r="E356" s="18">
        <v>7687478</v>
      </c>
      <c r="F356" s="18">
        <v>11146746</v>
      </c>
      <c r="G356" s="18">
        <v>11691415</v>
      </c>
      <c r="H356" s="18">
        <v>10527825</v>
      </c>
      <c r="I356" s="18">
        <v>13.397314071655273</v>
      </c>
      <c r="J356" s="18">
        <v>12.697808265686035</v>
      </c>
      <c r="K356" s="18">
        <v>12.206987380981445</v>
      </c>
    </row>
    <row r="357" spans="2:11">
      <c r="B357" s="18">
        <v>16</v>
      </c>
      <c r="C357" s="19">
        <v>8124365</v>
      </c>
      <c r="D357" s="18">
        <v>8240519.5</v>
      </c>
      <c r="E357" s="18">
        <v>7947244.5</v>
      </c>
      <c r="F357" s="18">
        <v>11219567</v>
      </c>
      <c r="G357" s="18">
        <v>11454251</v>
      </c>
      <c r="H357" s="18">
        <v>10192578</v>
      </c>
      <c r="I357" s="18">
        <v>11.958171844482422</v>
      </c>
      <c r="J357" s="18">
        <v>13.032739639282227</v>
      </c>
      <c r="K357" s="18">
        <v>11.311322212219238</v>
      </c>
    </row>
    <row r="358" spans="2:11">
      <c r="B358" s="18">
        <v>16</v>
      </c>
      <c r="C358" s="19">
        <v>7476361</v>
      </c>
      <c r="D358" s="18">
        <v>7599875.5</v>
      </c>
      <c r="E358" s="18">
        <v>7335026.5</v>
      </c>
      <c r="F358" s="18">
        <v>11862083</v>
      </c>
      <c r="G358" s="18">
        <v>10996531</v>
      </c>
      <c r="H358" s="18">
        <v>11147107</v>
      </c>
      <c r="I358" s="18">
        <v>11.371014595031738</v>
      </c>
      <c r="J358" s="18">
        <v>11.585018157958984</v>
      </c>
      <c r="K358" s="18">
        <v>11.440841674804688</v>
      </c>
    </row>
    <row r="359" spans="2:11">
      <c r="B359" s="18">
        <v>16</v>
      </c>
      <c r="C359" s="19">
        <v>7817470.5</v>
      </c>
      <c r="D359" s="18">
        <v>7684350</v>
      </c>
      <c r="E359" s="18">
        <v>7722343</v>
      </c>
      <c r="F359" s="18">
        <v>10983315</v>
      </c>
      <c r="G359" s="18">
        <v>11855197</v>
      </c>
      <c r="H359" s="18">
        <v>11165314</v>
      </c>
      <c r="I359" s="18">
        <v>12.626090049743652</v>
      </c>
      <c r="J359" s="18">
        <v>14.152168273925781</v>
      </c>
      <c r="K359" s="18">
        <v>12.559671401977539</v>
      </c>
    </row>
    <row r="360" spans="2:11">
      <c r="B360" s="18">
        <v>16</v>
      </c>
      <c r="C360" s="19">
        <v>8190423</v>
      </c>
      <c r="D360" s="18">
        <v>7868200</v>
      </c>
      <c r="E360" s="18">
        <v>7646368.5</v>
      </c>
      <c r="F360" s="18">
        <v>12204525</v>
      </c>
      <c r="G360" s="18">
        <v>11851628</v>
      </c>
      <c r="H360" s="18">
        <v>12472198</v>
      </c>
      <c r="I360" s="18">
        <v>12.807390213012695</v>
      </c>
      <c r="J360" s="18">
        <v>12.64323902130127</v>
      </c>
      <c r="K360" s="18">
        <v>13.229022026062012</v>
      </c>
    </row>
    <row r="361" spans="2:11">
      <c r="B361" s="18">
        <v>16</v>
      </c>
      <c r="C361" s="19">
        <v>7707720.5</v>
      </c>
      <c r="D361" s="18">
        <v>8154194.5</v>
      </c>
      <c r="E361" s="18">
        <v>7479093.5</v>
      </c>
      <c r="F361" s="18">
        <v>12063700</v>
      </c>
      <c r="G361" s="18">
        <v>10776767</v>
      </c>
      <c r="H361" s="18">
        <v>10489224</v>
      </c>
      <c r="I361" s="18">
        <v>13.435183525085449</v>
      </c>
      <c r="J361" s="18">
        <v>12.523442268371582</v>
      </c>
      <c r="K361" s="18">
        <v>11.488861083984375</v>
      </c>
    </row>
    <row r="362" spans="2:11">
      <c r="B362" s="18">
        <v>18</v>
      </c>
      <c r="C362" s="19">
        <v>8037702</v>
      </c>
      <c r="D362" s="18">
        <v>8238038.5</v>
      </c>
      <c r="E362" s="18">
        <v>7732684</v>
      </c>
      <c r="F362" s="18">
        <v>10670037</v>
      </c>
      <c r="G362" s="18">
        <v>10313794</v>
      </c>
      <c r="H362" s="18">
        <v>10113554</v>
      </c>
      <c r="I362" s="18">
        <v>10.408126831054688</v>
      </c>
      <c r="J362" s="18">
        <v>10.771830558776855</v>
      </c>
      <c r="K362" s="18">
        <v>10.441320419311523</v>
      </c>
    </row>
    <row r="363" spans="2:11">
      <c r="B363" s="18">
        <v>18</v>
      </c>
      <c r="C363" s="19">
        <v>8655744</v>
      </c>
      <c r="D363" s="18">
        <v>8351885.5</v>
      </c>
      <c r="E363" s="18">
        <v>8305643.5</v>
      </c>
      <c r="F363" s="18">
        <v>10455825</v>
      </c>
      <c r="G363" s="18">
        <v>10703904</v>
      </c>
      <c r="H363" s="18">
        <v>9745506</v>
      </c>
      <c r="I363" s="18">
        <v>10.641237258911133</v>
      </c>
      <c r="J363" s="18">
        <v>11.399449348449707</v>
      </c>
      <c r="K363" s="18">
        <v>9.9405384063720703</v>
      </c>
    </row>
    <row r="364" spans="2:11">
      <c r="B364" s="18">
        <v>18</v>
      </c>
      <c r="C364" s="19">
        <v>7885935</v>
      </c>
      <c r="D364" s="18">
        <v>8072638.5</v>
      </c>
      <c r="E364" s="18">
        <v>8117389</v>
      </c>
      <c r="F364" s="18">
        <v>11101360</v>
      </c>
      <c r="G364" s="18">
        <v>10901583</v>
      </c>
      <c r="H364" s="18">
        <v>9794634</v>
      </c>
      <c r="I364" s="18">
        <v>11.534385681152344</v>
      </c>
      <c r="J364" s="18">
        <v>12.354214668273926</v>
      </c>
      <c r="K364" s="18">
        <v>10.445880889892578</v>
      </c>
    </row>
    <row r="365" spans="2:11">
      <c r="B365" s="18">
        <v>18</v>
      </c>
      <c r="C365" s="19">
        <v>8409702</v>
      </c>
      <c r="D365" s="18">
        <v>8333955.5</v>
      </c>
      <c r="E365" s="18">
        <v>8387552</v>
      </c>
      <c r="F365" s="18">
        <v>13317982</v>
      </c>
      <c r="G365" s="18">
        <v>10786747</v>
      </c>
      <c r="H365" s="18">
        <v>12224557</v>
      </c>
      <c r="I365" s="18">
        <v>11.840177536010742</v>
      </c>
      <c r="J365" s="18">
        <v>11.279167175292969</v>
      </c>
      <c r="K365" s="18">
        <v>11.298670768737793</v>
      </c>
    </row>
    <row r="366" spans="2:11">
      <c r="B366" s="18">
        <v>18</v>
      </c>
      <c r="C366" s="19">
        <v>8684524</v>
      </c>
      <c r="D366" s="18">
        <v>8458493</v>
      </c>
      <c r="E366" s="18">
        <v>8042826.5</v>
      </c>
      <c r="F366" s="18">
        <v>10943330</v>
      </c>
      <c r="G366" s="18">
        <v>10893226</v>
      </c>
      <c r="H366" s="18">
        <v>10903590</v>
      </c>
      <c r="I366" s="18">
        <v>12.157504081726074</v>
      </c>
      <c r="J366" s="18">
        <v>12.405790328979492</v>
      </c>
      <c r="K366" s="18">
        <v>11.252245903015137</v>
      </c>
    </row>
    <row r="367" spans="2:11">
      <c r="B367" s="18">
        <v>18</v>
      </c>
      <c r="C367" s="19">
        <v>8330709.5</v>
      </c>
      <c r="D367" s="18">
        <v>7699250</v>
      </c>
      <c r="E367" s="18">
        <v>7727975.5</v>
      </c>
      <c r="F367" s="18">
        <v>11145619</v>
      </c>
      <c r="G367" s="18">
        <v>11254064</v>
      </c>
      <c r="H367" s="18">
        <v>10448446</v>
      </c>
      <c r="I367" s="18">
        <v>11.923347473144531</v>
      </c>
      <c r="J367" s="18">
        <v>13.040851593017578</v>
      </c>
      <c r="K367" s="18">
        <v>10.095697402954102</v>
      </c>
    </row>
    <row r="368" spans="2:11">
      <c r="B368" s="18">
        <v>18</v>
      </c>
      <c r="C368" s="19">
        <v>8163176.5</v>
      </c>
      <c r="D368" s="18">
        <v>7885327.5</v>
      </c>
      <c r="E368" s="18">
        <v>7645708.5</v>
      </c>
      <c r="F368" s="18">
        <v>12132618</v>
      </c>
      <c r="G368" s="18">
        <v>11628773</v>
      </c>
      <c r="H368" s="18">
        <v>10340891</v>
      </c>
      <c r="I368" s="18">
        <v>11.425246238708496</v>
      </c>
      <c r="J368" s="18">
        <v>12.063288688659668</v>
      </c>
      <c r="K368" s="18">
        <v>10.357782363891602</v>
      </c>
    </row>
    <row r="369" spans="2:11">
      <c r="B369" s="18">
        <v>18</v>
      </c>
      <c r="C369" s="19">
        <v>7936870</v>
      </c>
      <c r="D369" s="18">
        <v>8182580.5</v>
      </c>
      <c r="E369" s="18">
        <v>7803465</v>
      </c>
      <c r="F369" s="18">
        <v>11195967</v>
      </c>
      <c r="G369" s="18">
        <v>10523144</v>
      </c>
      <c r="H369" s="18">
        <v>10113911</v>
      </c>
      <c r="I369" s="18">
        <v>12.100709915161133</v>
      </c>
      <c r="J369" s="18">
        <v>11.677050590515137</v>
      </c>
      <c r="K369" s="18">
        <v>10.871795654296875</v>
      </c>
    </row>
    <row r="370" spans="2:11">
      <c r="B370" s="18">
        <v>18</v>
      </c>
      <c r="C370" s="19">
        <v>8210466</v>
      </c>
      <c r="D370" s="18">
        <v>8175117</v>
      </c>
      <c r="E370" s="18">
        <v>7790471.5</v>
      </c>
      <c r="F370" s="18">
        <v>10780621</v>
      </c>
      <c r="G370" s="18">
        <v>11296544</v>
      </c>
      <c r="H370" s="18">
        <v>11066023</v>
      </c>
      <c r="I370" s="18">
        <v>11.150242805480957</v>
      </c>
      <c r="J370" s="18">
        <v>12.616076469421387</v>
      </c>
      <c r="K370" s="18">
        <v>10.531636238098145</v>
      </c>
    </row>
    <row r="371" spans="2:11">
      <c r="B371" s="18">
        <v>18</v>
      </c>
      <c r="C371" s="19">
        <v>8377512</v>
      </c>
      <c r="D371" s="18">
        <v>8480903</v>
      </c>
      <c r="E371" s="18">
        <v>8446002</v>
      </c>
      <c r="F371" s="18">
        <v>11041184</v>
      </c>
      <c r="G371" s="18">
        <v>10851473</v>
      </c>
      <c r="H371" s="18">
        <v>10770682</v>
      </c>
      <c r="I371" s="18">
        <v>10.189796447753906</v>
      </c>
      <c r="J371" s="18">
        <v>10.487228393554688</v>
      </c>
      <c r="K371" s="18">
        <v>9.6517648696899414</v>
      </c>
    </row>
    <row r="372" spans="2:11">
      <c r="B372" s="18">
        <v>18</v>
      </c>
      <c r="C372" s="19">
        <v>8728263</v>
      </c>
      <c r="D372" s="18">
        <v>8228096</v>
      </c>
      <c r="E372" s="18">
        <v>7983081</v>
      </c>
      <c r="F372" s="18">
        <v>10415138</v>
      </c>
      <c r="G372" s="18">
        <v>10268773</v>
      </c>
      <c r="H372" s="18">
        <v>9936894</v>
      </c>
      <c r="I372" s="18">
        <v>10.790127754211426</v>
      </c>
      <c r="J372" s="18">
        <v>10.780795097351074</v>
      </c>
      <c r="K372" s="18">
        <v>9.8866691589355469</v>
      </c>
    </row>
    <row r="373" spans="2:11">
      <c r="B373" s="18">
        <v>18</v>
      </c>
      <c r="C373" s="19">
        <v>9045835</v>
      </c>
      <c r="D373" s="18">
        <v>8414959</v>
      </c>
      <c r="E373" s="18">
        <v>8097202</v>
      </c>
      <c r="F373" s="18">
        <v>12829853</v>
      </c>
      <c r="G373" s="18">
        <v>11499675</v>
      </c>
      <c r="H373" s="18">
        <v>11589473</v>
      </c>
      <c r="I373" s="18">
        <v>15.766495704650879</v>
      </c>
      <c r="J373" s="18">
        <v>13.690410614013672</v>
      </c>
      <c r="K373" s="18">
        <v>14.463542938232422</v>
      </c>
    </row>
    <row r="374" spans="2:11">
      <c r="B374" s="18">
        <v>18</v>
      </c>
      <c r="C374" s="19">
        <v>7915480</v>
      </c>
      <c r="D374" s="18">
        <v>8066643</v>
      </c>
      <c r="E374" s="18">
        <v>8034141.5</v>
      </c>
      <c r="F374" s="18">
        <v>11080242</v>
      </c>
      <c r="G374" s="18">
        <v>11547935</v>
      </c>
      <c r="H374" s="18">
        <v>10671299</v>
      </c>
      <c r="I374" s="18">
        <v>11.635683059692383</v>
      </c>
      <c r="J374" s="18">
        <v>11.880672454833984</v>
      </c>
      <c r="K374" s="18">
        <v>11.160568237304688</v>
      </c>
    </row>
    <row r="375" spans="2:11">
      <c r="B375" s="18">
        <v>18</v>
      </c>
      <c r="C375" s="19">
        <v>8885337</v>
      </c>
      <c r="D375" s="18">
        <v>8436942</v>
      </c>
      <c r="E375" s="18">
        <v>8020595</v>
      </c>
      <c r="F375" s="18">
        <v>12070372</v>
      </c>
      <c r="G375" s="18">
        <v>11734126</v>
      </c>
      <c r="H375" s="18">
        <v>10783677</v>
      </c>
      <c r="I375" s="18">
        <v>12.29116153717041</v>
      </c>
      <c r="J375" s="18">
        <v>12.410969734191895</v>
      </c>
      <c r="K375" s="18">
        <v>11.070719718933105</v>
      </c>
    </row>
    <row r="376" spans="2:11">
      <c r="B376" s="18">
        <v>18</v>
      </c>
      <c r="C376" s="19">
        <v>8293464</v>
      </c>
      <c r="D376" s="18">
        <v>8380612.5</v>
      </c>
      <c r="E376" s="18">
        <v>8353298.5</v>
      </c>
      <c r="F376" s="18">
        <v>11967643</v>
      </c>
      <c r="G376" s="18">
        <v>11372081</v>
      </c>
      <c r="H376" s="18">
        <v>10468376</v>
      </c>
      <c r="I376" s="18">
        <v>11.757319450378418</v>
      </c>
      <c r="J376" s="18">
        <v>12.794976234436035</v>
      </c>
      <c r="K376" s="18">
        <v>11.303787231445313</v>
      </c>
    </row>
    <row r="377" spans="2:11">
      <c r="B377" s="18">
        <v>18</v>
      </c>
      <c r="C377" s="19">
        <v>8448739</v>
      </c>
      <c r="D377" s="18">
        <v>8088901.5</v>
      </c>
      <c r="E377" s="18">
        <v>7955801.5</v>
      </c>
      <c r="F377" s="18">
        <v>9929357</v>
      </c>
      <c r="G377" s="18">
        <v>11118546</v>
      </c>
      <c r="H377" s="18">
        <v>10653270</v>
      </c>
      <c r="I377" s="18">
        <v>11.589980125427246</v>
      </c>
      <c r="J377" s="18">
        <v>12.245086669921875</v>
      </c>
      <c r="K377" s="18">
        <v>11.153896331787109</v>
      </c>
    </row>
    <row r="378" spans="2:11">
      <c r="B378" s="18">
        <v>18</v>
      </c>
      <c r="C378" s="19">
        <v>8331225.5</v>
      </c>
      <c r="D378" s="18">
        <v>8370681</v>
      </c>
      <c r="E378" s="18">
        <v>8088675.5</v>
      </c>
      <c r="F378" s="18">
        <v>10253006</v>
      </c>
      <c r="G378" s="18">
        <v>12432408</v>
      </c>
      <c r="H378" s="18">
        <v>10665815</v>
      </c>
      <c r="I378" s="18">
        <v>10.830437660217285</v>
      </c>
      <c r="J378" s="18">
        <v>11.633013725280762</v>
      </c>
      <c r="K378" s="18">
        <v>10.161092758178711</v>
      </c>
    </row>
    <row r="379" spans="2:11">
      <c r="B379" s="18">
        <v>18</v>
      </c>
      <c r="C379" s="19">
        <v>8092392.5</v>
      </c>
      <c r="D379" s="18">
        <v>8061664</v>
      </c>
      <c r="E379" s="18">
        <v>7642010.5</v>
      </c>
      <c r="F379" s="18">
        <v>10613179</v>
      </c>
      <c r="G379" s="18">
        <v>11520925</v>
      </c>
      <c r="H379" s="18">
        <v>9654691</v>
      </c>
      <c r="I379" s="18">
        <v>11.514561653137207</v>
      </c>
      <c r="J379" s="18">
        <v>12.715810775756836</v>
      </c>
      <c r="K379" s="18">
        <v>10.885625839233398</v>
      </c>
    </row>
    <row r="380" spans="2:11">
      <c r="B380" s="18">
        <v>18</v>
      </c>
      <c r="C380" s="19">
        <v>8513056</v>
      </c>
      <c r="D380" s="18">
        <v>8632446</v>
      </c>
      <c r="E380" s="18">
        <v>8812072</v>
      </c>
      <c r="F380" s="18">
        <v>11297355</v>
      </c>
      <c r="G380" s="18">
        <v>11975695</v>
      </c>
      <c r="H380" s="18">
        <v>10820334</v>
      </c>
      <c r="I380" s="18">
        <v>11.345874786376953</v>
      </c>
      <c r="J380" s="18">
        <v>12.110803604125977</v>
      </c>
      <c r="K380" s="18">
        <v>10.850936889648438</v>
      </c>
    </row>
    <row r="381" spans="2:11">
      <c r="B381" s="18">
        <v>18</v>
      </c>
      <c r="C381" s="19">
        <v>8267575.5</v>
      </c>
      <c r="D381" s="18">
        <v>8213408</v>
      </c>
      <c r="E381" s="18">
        <v>7880316.5</v>
      </c>
      <c r="F381" s="18">
        <v>11544348</v>
      </c>
      <c r="G381" s="18">
        <v>12054899</v>
      </c>
      <c r="H381" s="18">
        <v>10876615</v>
      </c>
      <c r="I381" s="18">
        <v>12.222949981689453</v>
      </c>
      <c r="J381" s="18">
        <v>12.39626407623291</v>
      </c>
      <c r="K381" s="18">
        <v>11.401331901550293</v>
      </c>
    </row>
    <row r="382" spans="2:11">
      <c r="B382" s="18">
        <v>18</v>
      </c>
      <c r="C382" s="19">
        <v>8305889</v>
      </c>
      <c r="D382" s="18">
        <v>8208091.5</v>
      </c>
      <c r="E382" s="18">
        <v>8001757</v>
      </c>
      <c r="F382" s="18">
        <v>11682284</v>
      </c>
      <c r="G382" s="18">
        <v>11578600</v>
      </c>
      <c r="H382" s="18">
        <v>10036340</v>
      </c>
      <c r="I382" s="18">
        <v>11.88387393951416</v>
      </c>
      <c r="J382" s="18">
        <v>12.341717720031738</v>
      </c>
      <c r="K382" s="18">
        <v>11.05443000793457</v>
      </c>
    </row>
    <row r="383" spans="2:11">
      <c r="B383" s="18">
        <v>18</v>
      </c>
      <c r="C383" s="19">
        <v>8538806</v>
      </c>
      <c r="D383" s="18">
        <v>8498782</v>
      </c>
      <c r="E383" s="18">
        <v>8714021</v>
      </c>
      <c r="F383" s="18">
        <v>10057466</v>
      </c>
      <c r="G383" s="18">
        <v>11152513</v>
      </c>
      <c r="H383" s="18">
        <v>10874390</v>
      </c>
      <c r="I383" s="18">
        <v>11.491589546203613</v>
      </c>
      <c r="J383" s="18">
        <v>10.70170783996582</v>
      </c>
      <c r="K383" s="18">
        <v>10.482894897460938</v>
      </c>
    </row>
    <row r="384" spans="2:11">
      <c r="B384" s="18">
        <v>18</v>
      </c>
      <c r="C384" s="19">
        <v>8436117</v>
      </c>
      <c r="D384" s="18">
        <v>9033154</v>
      </c>
      <c r="E384" s="18">
        <v>8124600</v>
      </c>
      <c r="F384" s="18">
        <v>11543535</v>
      </c>
      <c r="G384" s="18">
        <v>12337032</v>
      </c>
      <c r="H384" s="18">
        <v>10890612</v>
      </c>
      <c r="I384" s="18">
        <v>13.108488082885742</v>
      </c>
      <c r="J384" s="18">
        <v>12.749892234802246</v>
      </c>
      <c r="K384" s="18">
        <v>10.517305374145508</v>
      </c>
    </row>
    <row r="385" spans="2:11">
      <c r="B385" s="18">
        <v>18</v>
      </c>
      <c r="C385" s="19">
        <v>8978231</v>
      </c>
      <c r="D385" s="18">
        <v>8366291</v>
      </c>
      <c r="E385" s="18">
        <v>8076882</v>
      </c>
      <c r="F385" s="18">
        <v>11635745</v>
      </c>
      <c r="G385" s="18">
        <v>10726511</v>
      </c>
      <c r="H385" s="18">
        <v>10490219</v>
      </c>
      <c r="I385" s="18">
        <v>11.487793922424316</v>
      </c>
      <c r="J385" s="18">
        <v>11.896761894226074</v>
      </c>
      <c r="K385" s="18">
        <v>10.429184913635254</v>
      </c>
    </row>
    <row r="386" spans="2:11">
      <c r="B386" s="18">
        <v>18</v>
      </c>
      <c r="C386" s="19">
        <v>8075421.5</v>
      </c>
      <c r="D386" s="18">
        <v>8226638.5</v>
      </c>
      <c r="E386" s="18">
        <v>8195090</v>
      </c>
      <c r="F386" s="18">
        <v>11122803</v>
      </c>
      <c r="G386" s="18">
        <v>11752465</v>
      </c>
      <c r="H386" s="18">
        <v>10867554</v>
      </c>
      <c r="I386" s="18">
        <v>11.409570693969727</v>
      </c>
      <c r="J386" s="18">
        <v>11.960766792297363</v>
      </c>
      <c r="K386" s="18">
        <v>11.338990211486816</v>
      </c>
    </row>
    <row r="387" spans="2:11">
      <c r="B387" s="18">
        <v>18</v>
      </c>
      <c r="C387" s="19">
        <v>8261168.5</v>
      </c>
      <c r="D387" s="18">
        <v>8683516</v>
      </c>
      <c r="E387" s="18">
        <v>8015972.5</v>
      </c>
      <c r="F387" s="18">
        <v>12297694</v>
      </c>
      <c r="G387" s="18">
        <v>12504101</v>
      </c>
      <c r="H387" s="18">
        <v>10380509</v>
      </c>
      <c r="I387" s="18">
        <v>11.211348533630371</v>
      </c>
      <c r="J387" s="18">
        <v>12.164920806884766</v>
      </c>
      <c r="K387" s="18">
        <v>11.237201690673828</v>
      </c>
    </row>
    <row r="388" spans="2:11">
      <c r="B388" s="18">
        <v>18</v>
      </c>
      <c r="C388" s="19">
        <v>8399464</v>
      </c>
      <c r="D388" s="18">
        <v>7990034</v>
      </c>
      <c r="E388" s="18">
        <v>7765917.5</v>
      </c>
      <c r="F388" s="18">
        <v>11045536</v>
      </c>
      <c r="G388" s="18">
        <v>10645336</v>
      </c>
      <c r="H388" s="18">
        <v>11007582</v>
      </c>
      <c r="I388" s="18">
        <v>10.861935615539551</v>
      </c>
      <c r="J388" s="18">
        <v>11.201815605163574</v>
      </c>
      <c r="K388" s="18">
        <v>10.812869071960449</v>
      </c>
    </row>
    <row r="389" spans="2:11">
      <c r="B389" s="18">
        <v>18</v>
      </c>
      <c r="C389" s="19">
        <v>8736099</v>
      </c>
      <c r="D389" s="18">
        <v>8666618</v>
      </c>
      <c r="E389" s="18">
        <v>8260844.5</v>
      </c>
      <c r="F389" s="18">
        <v>10733601</v>
      </c>
      <c r="G389" s="18">
        <v>10717216</v>
      </c>
      <c r="H389" s="18">
        <v>10212048</v>
      </c>
      <c r="I389" s="18">
        <v>11.728519439697266</v>
      </c>
      <c r="J389" s="18">
        <v>11.206727027893066</v>
      </c>
      <c r="K389" s="18">
        <v>10.375100135803223</v>
      </c>
    </row>
    <row r="390" spans="2:11">
      <c r="B390" s="18">
        <v>18</v>
      </c>
      <c r="C390" s="19">
        <v>8284668.5</v>
      </c>
      <c r="D390" s="18">
        <v>8000751.5</v>
      </c>
      <c r="E390" s="18">
        <v>7742641.5</v>
      </c>
      <c r="F390" s="18">
        <v>11954909</v>
      </c>
      <c r="G390" s="18">
        <v>11677586</v>
      </c>
      <c r="H390" s="18">
        <v>11372851</v>
      </c>
      <c r="I390" s="18">
        <v>12.804604530334473</v>
      </c>
      <c r="J390" s="18">
        <v>13.588135719299316</v>
      </c>
      <c r="K390" s="18">
        <v>11.769499778747559</v>
      </c>
    </row>
    <row r="391" spans="2:11">
      <c r="B391" s="18">
        <v>18</v>
      </c>
      <c r="C391" s="19">
        <v>8357301.5</v>
      </c>
      <c r="D391" s="18">
        <v>8589163</v>
      </c>
      <c r="E391" s="18">
        <v>8314769</v>
      </c>
      <c r="F391" s="18">
        <v>10665875</v>
      </c>
      <c r="G391" s="18">
        <v>11044722</v>
      </c>
      <c r="H391" s="18">
        <v>10135016</v>
      </c>
      <c r="I391" s="18">
        <v>12.726799011230469</v>
      </c>
      <c r="J391" s="18">
        <v>12.253469467163086</v>
      </c>
      <c r="K391" s="18">
        <v>11.865642547607422</v>
      </c>
    </row>
    <row r="392" spans="2:11">
      <c r="B392" s="18">
        <v>18</v>
      </c>
      <c r="C392" s="19">
        <v>8759205</v>
      </c>
      <c r="D392" s="18">
        <v>9091023</v>
      </c>
      <c r="E392" s="18">
        <v>8401496</v>
      </c>
      <c r="F392" s="18">
        <v>11130746</v>
      </c>
      <c r="G392" s="18">
        <v>11023167</v>
      </c>
      <c r="H392" s="18">
        <v>10563854</v>
      </c>
      <c r="I392" s="18">
        <v>12.36133861541748</v>
      </c>
      <c r="J392" s="18">
        <v>11.962796211242676</v>
      </c>
      <c r="K392" s="18">
        <v>11.212465286254883</v>
      </c>
    </row>
    <row r="393" spans="2:11">
      <c r="B393" s="18">
        <v>18</v>
      </c>
      <c r="C393" s="19">
        <v>8839842</v>
      </c>
      <c r="D393" s="18">
        <v>8638895</v>
      </c>
      <c r="E393" s="18">
        <v>8798232</v>
      </c>
      <c r="F393" s="18">
        <v>10937834</v>
      </c>
      <c r="G393" s="18">
        <v>11297424</v>
      </c>
      <c r="H393" s="18">
        <v>10942967</v>
      </c>
      <c r="I393" s="18">
        <v>11.621689796447754</v>
      </c>
      <c r="J393" s="18">
        <v>12.332560539245605</v>
      </c>
      <c r="K393" s="18">
        <v>11.640436172485352</v>
      </c>
    </row>
    <row r="394" spans="2:11">
      <c r="B394" s="18">
        <v>18</v>
      </c>
      <c r="C394" s="19">
        <v>8476130</v>
      </c>
      <c r="D394" s="18">
        <v>8859046</v>
      </c>
      <c r="E394" s="18">
        <v>8097720.5</v>
      </c>
      <c r="F394" s="18">
        <v>10719616</v>
      </c>
      <c r="G394" s="18">
        <v>10886655</v>
      </c>
      <c r="H394" s="18">
        <v>10718868</v>
      </c>
      <c r="I394" s="18">
        <v>11.588923454284668</v>
      </c>
      <c r="J394" s="18">
        <v>11.530465126037598</v>
      </c>
      <c r="K394" s="18">
        <v>11.316290855407715</v>
      </c>
    </row>
    <row r="395" spans="2:11">
      <c r="B395" s="18">
        <v>18</v>
      </c>
      <c r="C395" s="19">
        <v>8550318</v>
      </c>
      <c r="D395" s="18">
        <v>9108508</v>
      </c>
      <c r="E395" s="18">
        <v>8577114</v>
      </c>
      <c r="F395" s="18">
        <v>11590161</v>
      </c>
      <c r="G395" s="18">
        <v>11080668</v>
      </c>
      <c r="H395" s="18">
        <v>10685249</v>
      </c>
      <c r="I395" s="18">
        <v>11.364960670471191</v>
      </c>
      <c r="J395" s="18">
        <v>11.783818244934082</v>
      </c>
      <c r="K395" s="18">
        <v>11.682683944702148</v>
      </c>
    </row>
    <row r="396" spans="2:11">
      <c r="B396" s="18">
        <v>18</v>
      </c>
      <c r="C396" s="19">
        <v>8255982</v>
      </c>
      <c r="D396" s="18">
        <v>8551710</v>
      </c>
      <c r="E396" s="18">
        <v>8258277</v>
      </c>
      <c r="F396" s="18">
        <v>11448996</v>
      </c>
      <c r="G396" s="18">
        <v>11122063</v>
      </c>
      <c r="H396" s="18">
        <v>10204429</v>
      </c>
      <c r="I396" s="18">
        <v>12.61805534362793</v>
      </c>
      <c r="J396" s="18">
        <v>13.466150283813477</v>
      </c>
      <c r="K396" s="18">
        <v>11.339299201965332</v>
      </c>
    </row>
    <row r="397" spans="2:11">
      <c r="B397" s="18">
        <v>18</v>
      </c>
      <c r="C397" s="19">
        <v>8845401</v>
      </c>
      <c r="D397" s="18">
        <v>8851799</v>
      </c>
      <c r="E397" s="18">
        <v>8439311</v>
      </c>
      <c r="F397" s="18">
        <v>12160717</v>
      </c>
      <c r="G397" s="18">
        <v>11042907</v>
      </c>
      <c r="H397" s="18">
        <v>11593684</v>
      </c>
      <c r="I397" s="18">
        <v>13.034626007080078</v>
      </c>
      <c r="J397" s="18">
        <v>11.963459014892578</v>
      </c>
      <c r="K397" s="18">
        <v>12.309782981872559</v>
      </c>
    </row>
    <row r="398" spans="2:11">
      <c r="B398" s="18">
        <v>18</v>
      </c>
      <c r="C398" s="19">
        <v>8354446</v>
      </c>
      <c r="D398" s="18">
        <v>8452734</v>
      </c>
      <c r="E398" s="18">
        <v>8292007</v>
      </c>
      <c r="F398" s="18">
        <v>11647396</v>
      </c>
      <c r="G398" s="18">
        <v>11974330</v>
      </c>
      <c r="H398" s="18">
        <v>10432268</v>
      </c>
      <c r="I398" s="18">
        <v>11.809852600097656</v>
      </c>
      <c r="J398" s="18">
        <v>12.544685363769531</v>
      </c>
      <c r="K398" s="18">
        <v>11.008926391601563</v>
      </c>
    </row>
    <row r="399" spans="2:11">
      <c r="B399" s="18">
        <v>18</v>
      </c>
      <c r="C399" s="19">
        <v>8994153</v>
      </c>
      <c r="D399" s="18">
        <v>8548761</v>
      </c>
      <c r="E399" s="18">
        <v>8431991</v>
      </c>
      <c r="F399" s="18">
        <v>11278224</v>
      </c>
      <c r="G399" s="18">
        <v>12287158</v>
      </c>
      <c r="H399" s="18">
        <v>9944779</v>
      </c>
      <c r="I399" s="18">
        <v>13.172773361206055</v>
      </c>
      <c r="J399" s="18">
        <v>14.315909385681152</v>
      </c>
      <c r="K399" s="18">
        <v>11.912325859069824</v>
      </c>
    </row>
    <row r="400" spans="2:11">
      <c r="B400" s="18">
        <v>18</v>
      </c>
      <c r="C400" s="19">
        <v>8178647.5</v>
      </c>
      <c r="D400" s="18">
        <v>8991639</v>
      </c>
      <c r="E400" s="18">
        <v>8269488.5</v>
      </c>
      <c r="F400" s="18">
        <v>12260069</v>
      </c>
      <c r="G400" s="18">
        <v>11456603</v>
      </c>
      <c r="H400" s="18">
        <v>11791808</v>
      </c>
      <c r="I400" s="18">
        <v>13.741439819335938</v>
      </c>
      <c r="J400" s="18">
        <v>13.40656852722168</v>
      </c>
      <c r="K400" s="18">
        <v>12.595194816589355</v>
      </c>
    </row>
    <row r="401" spans="2:11">
      <c r="B401" s="18">
        <v>18</v>
      </c>
      <c r="C401" s="19">
        <v>9044866</v>
      </c>
      <c r="D401" s="18">
        <v>8804692</v>
      </c>
      <c r="E401" s="18">
        <v>8838163</v>
      </c>
      <c r="F401" s="18">
        <v>11457388</v>
      </c>
      <c r="G401" s="18">
        <v>11901981</v>
      </c>
      <c r="H401" s="18">
        <v>11406247</v>
      </c>
      <c r="I401" s="18">
        <v>10.895227432250977</v>
      </c>
      <c r="J401" s="18">
        <v>11.820295333862305</v>
      </c>
      <c r="K401" s="18">
        <v>12.355725288391113</v>
      </c>
    </row>
    <row r="402" spans="2:11">
      <c r="B402" s="18">
        <v>18</v>
      </c>
      <c r="C402" s="19">
        <v>8901166</v>
      </c>
      <c r="D402" s="18">
        <v>8507975</v>
      </c>
      <c r="E402" s="18">
        <v>8695520</v>
      </c>
      <c r="F402" s="18">
        <v>11454854</v>
      </c>
      <c r="G402" s="18">
        <v>12742337</v>
      </c>
      <c r="H402" s="18">
        <v>11743767</v>
      </c>
      <c r="I402" s="18">
        <v>11.20732593536377</v>
      </c>
      <c r="J402" s="18">
        <v>13.018619537353516</v>
      </c>
      <c r="K402" s="18">
        <v>11.475886344909668</v>
      </c>
    </row>
    <row r="403" spans="2:11">
      <c r="B403" s="18">
        <v>18</v>
      </c>
      <c r="C403" s="19">
        <v>8448278</v>
      </c>
      <c r="D403" s="18">
        <v>8318517</v>
      </c>
      <c r="E403" s="18">
        <v>7867514</v>
      </c>
      <c r="F403" s="18">
        <v>11383141</v>
      </c>
      <c r="G403" s="18">
        <v>10737777</v>
      </c>
      <c r="H403" s="18">
        <v>10160291</v>
      </c>
      <c r="I403" s="18">
        <v>10.840415954589844</v>
      </c>
      <c r="J403" s="18">
        <v>10.848333358764648</v>
      </c>
      <c r="K403" s="18">
        <v>10.560486793518066</v>
      </c>
    </row>
    <row r="404" spans="2:11">
      <c r="B404" s="18">
        <v>18</v>
      </c>
      <c r="C404" s="19">
        <v>8414096</v>
      </c>
      <c r="D404" s="18">
        <v>8230600.5</v>
      </c>
      <c r="E404" s="18">
        <v>8007023.5</v>
      </c>
      <c r="F404" s="18">
        <v>10943400</v>
      </c>
      <c r="G404" s="18">
        <v>11487416</v>
      </c>
      <c r="H404" s="18">
        <v>12156767</v>
      </c>
      <c r="I404" s="18">
        <v>12.698893547058105</v>
      </c>
      <c r="J404" s="18">
        <v>12.821246147155762</v>
      </c>
      <c r="K404" s="18">
        <v>13.833733558654785</v>
      </c>
    </row>
    <row r="405" spans="2:11">
      <c r="B405" s="18">
        <v>18</v>
      </c>
      <c r="C405" s="19">
        <v>8525144</v>
      </c>
      <c r="D405" s="18">
        <v>8892959</v>
      </c>
      <c r="E405" s="18">
        <v>8316311.5</v>
      </c>
      <c r="F405" s="18">
        <v>11227408</v>
      </c>
      <c r="G405" s="18">
        <v>11100170</v>
      </c>
      <c r="H405" s="18">
        <v>9919714</v>
      </c>
      <c r="I405" s="18">
        <v>11.864775657653809</v>
      </c>
      <c r="J405" s="18">
        <v>11.905855178833008</v>
      </c>
      <c r="K405" s="18">
        <v>10.937343597412109</v>
      </c>
    </row>
    <row r="406" spans="2:11">
      <c r="B406" s="18">
        <v>18</v>
      </c>
      <c r="C406" s="19">
        <v>8304923.5</v>
      </c>
      <c r="D406" s="18">
        <v>8357815.5</v>
      </c>
      <c r="E406" s="18">
        <v>8275684</v>
      </c>
      <c r="F406" s="18">
        <v>10417679</v>
      </c>
      <c r="G406" s="18">
        <v>10534968</v>
      </c>
      <c r="H406" s="18">
        <v>9832101</v>
      </c>
      <c r="I406" s="18">
        <v>10.259272575378418</v>
      </c>
      <c r="J406" s="18">
        <v>11.134340286254883</v>
      </c>
      <c r="K406" s="18">
        <v>10.319840431213379</v>
      </c>
    </row>
    <row r="407" spans="2:11">
      <c r="B407" s="18">
        <v>18</v>
      </c>
      <c r="C407" s="19">
        <v>8824735</v>
      </c>
      <c r="D407" s="18">
        <v>8769631</v>
      </c>
      <c r="E407" s="18">
        <v>9092818</v>
      </c>
      <c r="F407" s="18">
        <v>12466870</v>
      </c>
      <c r="G407" s="18">
        <v>11208024</v>
      </c>
      <c r="H407" s="18">
        <v>10681227</v>
      </c>
      <c r="I407" s="18">
        <v>12.504961967468262</v>
      </c>
      <c r="J407" s="18">
        <v>11.86534309387207</v>
      </c>
      <c r="K407" s="18">
        <v>10.596980094909668</v>
      </c>
    </row>
    <row r="408" spans="2:11">
      <c r="B408" s="18">
        <v>18</v>
      </c>
      <c r="C408" s="19">
        <v>8643033</v>
      </c>
      <c r="D408" s="18">
        <v>8700110</v>
      </c>
      <c r="E408" s="18">
        <v>8863784</v>
      </c>
      <c r="F408" s="18">
        <v>11391239</v>
      </c>
      <c r="G408" s="18">
        <v>11369750</v>
      </c>
      <c r="H408" s="18">
        <v>11189792</v>
      </c>
      <c r="I408" s="18">
        <v>12.655155181884766</v>
      </c>
      <c r="J408" s="18">
        <v>12.276062965393066</v>
      </c>
      <c r="K408" s="18">
        <v>12.040689468383789</v>
      </c>
    </row>
    <row r="409" spans="2:11">
      <c r="B409" s="18">
        <v>18</v>
      </c>
      <c r="C409" s="19">
        <v>8482381</v>
      </c>
      <c r="D409" s="18">
        <v>8441010</v>
      </c>
      <c r="E409" s="18">
        <v>8316420.5</v>
      </c>
      <c r="F409" s="18">
        <v>10853266</v>
      </c>
      <c r="G409" s="18">
        <v>10976707</v>
      </c>
      <c r="H409" s="18">
        <v>10730028</v>
      </c>
      <c r="I409" s="18">
        <v>11.791820526123047</v>
      </c>
      <c r="J409" s="18">
        <v>11.988593101501465</v>
      </c>
      <c r="K409" s="18">
        <v>11.280881881713867</v>
      </c>
    </row>
    <row r="410" spans="2:11">
      <c r="B410" s="18">
        <v>18</v>
      </c>
      <c r="C410" s="19">
        <v>8903262</v>
      </c>
      <c r="D410" s="18">
        <v>8821565</v>
      </c>
      <c r="E410" s="18">
        <v>8433654</v>
      </c>
      <c r="F410" s="18">
        <v>11086786</v>
      </c>
      <c r="G410" s="18">
        <v>11394489</v>
      </c>
      <c r="H410" s="18">
        <v>12323299</v>
      </c>
      <c r="I410" s="18">
        <v>11.949113845825195</v>
      </c>
      <c r="J410" s="18">
        <v>12.438921928405762</v>
      </c>
      <c r="K410" s="18">
        <v>13.629913330078125</v>
      </c>
    </row>
    <row r="411" spans="2:11">
      <c r="B411" s="18">
        <v>18</v>
      </c>
      <c r="C411" s="19">
        <v>8412228</v>
      </c>
      <c r="D411" s="18">
        <v>8533620</v>
      </c>
      <c r="E411" s="18">
        <v>8175397.5</v>
      </c>
      <c r="F411" s="18">
        <v>12081729</v>
      </c>
      <c r="G411" s="18">
        <v>10433020</v>
      </c>
      <c r="H411" s="18">
        <v>10461360</v>
      </c>
      <c r="I411" s="18">
        <v>13.189785003662109</v>
      </c>
      <c r="J411" s="18">
        <v>12.624479293823242</v>
      </c>
      <c r="K411" s="18">
        <v>11.127209663391113</v>
      </c>
    </row>
    <row r="412" spans="2:11">
      <c r="B412" s="18">
        <v>18</v>
      </c>
      <c r="C412" s="19">
        <v>8432427</v>
      </c>
      <c r="D412" s="18">
        <v>8854699</v>
      </c>
      <c r="E412" s="18">
        <v>8329760</v>
      </c>
      <c r="F412" s="18">
        <v>10886729</v>
      </c>
      <c r="G412" s="18">
        <v>11942264</v>
      </c>
      <c r="H412" s="18">
        <v>11646528</v>
      </c>
      <c r="I412" s="18">
        <v>11.655424118041992</v>
      </c>
      <c r="J412" s="18">
        <v>12.043862342834473</v>
      </c>
      <c r="K412" s="18">
        <v>10.937457084655762</v>
      </c>
    </row>
    <row r="413" spans="2:11">
      <c r="B413" s="18">
        <v>18</v>
      </c>
      <c r="C413" s="19">
        <v>8285920.5</v>
      </c>
      <c r="D413" s="18">
        <v>8322372</v>
      </c>
      <c r="E413" s="18">
        <v>8512892</v>
      </c>
      <c r="F413" s="18">
        <v>11178877</v>
      </c>
      <c r="G413" s="18">
        <v>10851140</v>
      </c>
      <c r="H413" s="18">
        <v>11120748</v>
      </c>
      <c r="I413" s="18">
        <v>11.912636756896973</v>
      </c>
      <c r="J413" s="18">
        <v>12.404642105102539</v>
      </c>
      <c r="K413" s="18">
        <v>12.051535606384277</v>
      </c>
    </row>
    <row r="414" spans="2:11">
      <c r="B414" s="18">
        <v>18</v>
      </c>
      <c r="C414" s="19">
        <v>8716904</v>
      </c>
      <c r="D414" s="18">
        <v>8697793</v>
      </c>
      <c r="E414" s="18">
        <v>8201745.5</v>
      </c>
      <c r="F414" s="18">
        <v>11222189</v>
      </c>
      <c r="G414" s="18">
        <v>11117644</v>
      </c>
      <c r="H414" s="18">
        <v>11169999</v>
      </c>
      <c r="I414" s="18">
        <v>11.470579147338867</v>
      </c>
      <c r="J414" s="18">
        <v>13.541327476501465</v>
      </c>
      <c r="K414" s="18">
        <v>12.086672782897949</v>
      </c>
    </row>
    <row r="415" spans="2:11">
      <c r="B415" s="18">
        <v>18</v>
      </c>
      <c r="C415" s="19">
        <v>8387551</v>
      </c>
      <c r="D415" s="18">
        <v>8237684</v>
      </c>
      <c r="E415" s="18">
        <v>8338919</v>
      </c>
      <c r="F415" s="18">
        <v>12027552</v>
      </c>
      <c r="G415" s="18">
        <v>11947695</v>
      </c>
      <c r="H415" s="18">
        <v>11465736</v>
      </c>
      <c r="I415" s="18">
        <v>13.91913890838623</v>
      </c>
      <c r="J415" s="18">
        <v>13.639616012573242</v>
      </c>
      <c r="K415" s="18">
        <v>11.482510566711426</v>
      </c>
    </row>
    <row r="416" spans="2:11">
      <c r="B416" s="18">
        <v>18</v>
      </c>
      <c r="C416" s="19">
        <v>8346386</v>
      </c>
      <c r="D416" s="18">
        <v>8116540.5</v>
      </c>
      <c r="E416" s="18">
        <v>8117754</v>
      </c>
      <c r="F416" s="18">
        <v>12040189</v>
      </c>
      <c r="G416" s="18">
        <v>12073227</v>
      </c>
      <c r="H416" s="18">
        <v>10494464</v>
      </c>
      <c r="I416" s="18">
        <v>12.365097045898438</v>
      </c>
      <c r="J416" s="18">
        <v>12.064958572387695</v>
      </c>
      <c r="K416" s="18">
        <v>11.02916145324707</v>
      </c>
    </row>
    <row r="417" spans="2:11">
      <c r="B417" s="18">
        <v>18</v>
      </c>
      <c r="C417" s="19">
        <v>8540710</v>
      </c>
      <c r="D417" s="18">
        <v>8665629</v>
      </c>
      <c r="E417" s="18">
        <v>8298266.5</v>
      </c>
      <c r="F417" s="18">
        <v>10901238</v>
      </c>
      <c r="G417" s="18">
        <v>11681581</v>
      </c>
      <c r="H417" s="18">
        <v>10877131</v>
      </c>
      <c r="I417" s="18">
        <v>12.680577278137207</v>
      </c>
      <c r="J417" s="18">
        <v>12.34363842010498</v>
      </c>
      <c r="K417" s="18">
        <v>12.435857772827148</v>
      </c>
    </row>
    <row r="418" spans="2:11">
      <c r="B418" s="18">
        <v>18</v>
      </c>
      <c r="C418" s="19">
        <v>8365904</v>
      </c>
      <c r="D418" s="18">
        <v>8345619.5</v>
      </c>
      <c r="E418" s="18">
        <v>8446708</v>
      </c>
      <c r="F418" s="18">
        <v>11035238</v>
      </c>
      <c r="G418" s="18">
        <v>11447975</v>
      </c>
      <c r="H418" s="18">
        <v>10509895</v>
      </c>
      <c r="I418" s="18">
        <v>11.730904579162598</v>
      </c>
      <c r="J418" s="18">
        <v>13.023520469665527</v>
      </c>
      <c r="K418" s="18">
        <v>11.187675476074219</v>
      </c>
    </row>
    <row r="419" spans="2:11">
      <c r="B419" s="18">
        <v>18</v>
      </c>
      <c r="C419" s="19">
        <v>9102175</v>
      </c>
      <c r="D419" s="18">
        <v>8568942</v>
      </c>
      <c r="E419" s="18">
        <v>8267059.5</v>
      </c>
      <c r="F419" s="18">
        <v>11277529</v>
      </c>
      <c r="G419" s="18">
        <v>10948314</v>
      </c>
      <c r="H419" s="18">
        <v>10743468</v>
      </c>
      <c r="I419" s="18">
        <v>11.407977104187012</v>
      </c>
      <c r="J419" s="18">
        <v>11.506749153137207</v>
      </c>
      <c r="K419" s="18">
        <v>10.544218063354492</v>
      </c>
    </row>
    <row r="420" spans="2:11">
      <c r="B420" s="18">
        <v>18</v>
      </c>
      <c r="C420" s="19">
        <v>8219947.5</v>
      </c>
      <c r="D420" s="18">
        <v>7914730</v>
      </c>
      <c r="E420" s="18">
        <v>8127865.5</v>
      </c>
      <c r="F420" s="18">
        <v>10585020</v>
      </c>
      <c r="G420" s="18">
        <v>10346118</v>
      </c>
      <c r="H420" s="18">
        <v>10405038</v>
      </c>
      <c r="I420" s="18">
        <v>11.543515205383301</v>
      </c>
      <c r="J420" s="18">
        <v>12.077924728393555</v>
      </c>
      <c r="K420" s="18">
        <v>10.464071273803711</v>
      </c>
    </row>
    <row r="421" spans="2:11">
      <c r="B421" s="18">
        <v>18</v>
      </c>
      <c r="C421" s="19">
        <v>8228831</v>
      </c>
      <c r="D421" s="18">
        <v>8039902.5</v>
      </c>
      <c r="E421" s="18">
        <v>7910195</v>
      </c>
      <c r="F421" s="18">
        <v>11884996</v>
      </c>
      <c r="G421" s="18">
        <v>11518553</v>
      </c>
      <c r="H421" s="18">
        <v>10944762</v>
      </c>
      <c r="I421" s="18">
        <v>12.279382705688477</v>
      </c>
      <c r="J421" s="18">
        <v>12.594945907592773</v>
      </c>
      <c r="K421" s="18">
        <v>11.29533576965332</v>
      </c>
    </row>
    <row r="422" spans="2:11">
      <c r="B422" s="18">
        <v>18</v>
      </c>
      <c r="C422" s="19">
        <v>7960120.5</v>
      </c>
      <c r="D422" s="18">
        <v>7603299</v>
      </c>
      <c r="E422" s="18">
        <v>7511376</v>
      </c>
      <c r="F422" s="18">
        <v>10538867</v>
      </c>
      <c r="G422" s="18">
        <v>12167803</v>
      </c>
      <c r="H422" s="18">
        <v>10934504</v>
      </c>
      <c r="I422" s="18">
        <v>11.230620384216309</v>
      </c>
      <c r="J422" s="18">
        <v>12.764886856079102</v>
      </c>
      <c r="K422" s="18">
        <v>11.800746917724609</v>
      </c>
    </row>
    <row r="423" spans="2:11">
      <c r="B423" s="18">
        <v>18</v>
      </c>
      <c r="C423" s="19">
        <v>7971062.5</v>
      </c>
      <c r="D423" s="18">
        <v>8208297.5</v>
      </c>
      <c r="E423" s="18">
        <v>8088047.5</v>
      </c>
      <c r="F423" s="18">
        <v>10573775</v>
      </c>
      <c r="G423" s="18">
        <v>11040394</v>
      </c>
      <c r="H423" s="18">
        <v>10765456</v>
      </c>
      <c r="I423" s="18">
        <v>10.220819473266602</v>
      </c>
      <c r="J423" s="18">
        <v>10.397263526916504</v>
      </c>
      <c r="K423" s="18">
        <v>10.313082695007324</v>
      </c>
    </row>
    <row r="424" spans="2:11">
      <c r="B424" s="18">
        <v>18</v>
      </c>
      <c r="C424" s="19">
        <v>8136195</v>
      </c>
      <c r="D424" s="18">
        <v>7829061.5</v>
      </c>
      <c r="E424" s="18">
        <v>8221507</v>
      </c>
      <c r="F424" s="18">
        <v>10094254</v>
      </c>
      <c r="G424" s="18">
        <v>10664909</v>
      </c>
      <c r="H424" s="18">
        <v>9653274</v>
      </c>
      <c r="I424" s="18">
        <v>10.732308387756348</v>
      </c>
      <c r="J424" s="18">
        <v>10.15873908996582</v>
      </c>
      <c r="K424" s="18">
        <v>8.9610977172851563</v>
      </c>
    </row>
    <row r="425" spans="2:11">
      <c r="B425" s="18">
        <v>18</v>
      </c>
      <c r="C425" s="19">
        <v>7978267</v>
      </c>
      <c r="D425" s="18">
        <v>8115245.5</v>
      </c>
      <c r="E425" s="18">
        <v>7536473</v>
      </c>
      <c r="F425" s="18">
        <v>11614549</v>
      </c>
      <c r="G425" s="18">
        <v>11362740</v>
      </c>
      <c r="H425" s="18">
        <v>11953826</v>
      </c>
      <c r="I425" s="18">
        <v>11.037080764770508</v>
      </c>
      <c r="J425" s="18">
        <v>12.119532585144043</v>
      </c>
      <c r="K425" s="18">
        <v>11.274560928344727</v>
      </c>
    </row>
    <row r="426" spans="2:11">
      <c r="B426" s="18">
        <v>18</v>
      </c>
      <c r="C426" s="19">
        <v>7769643.5</v>
      </c>
      <c r="D426" s="18">
        <v>8149650</v>
      </c>
      <c r="E426" s="18">
        <v>7461852</v>
      </c>
      <c r="F426" s="18">
        <v>10882685</v>
      </c>
      <c r="G426" s="18">
        <v>10904912</v>
      </c>
      <c r="H426" s="18">
        <v>10834451</v>
      </c>
      <c r="I426" s="18">
        <v>11.143780708312988</v>
      </c>
      <c r="J426" s="18">
        <v>12.017244338989258</v>
      </c>
      <c r="K426" s="18">
        <v>10.38227367401123</v>
      </c>
    </row>
    <row r="427" spans="2:11">
      <c r="B427" s="18">
        <v>18</v>
      </c>
      <c r="C427" s="19">
        <v>7824738</v>
      </c>
      <c r="D427" s="18">
        <v>8401480</v>
      </c>
      <c r="E427" s="18">
        <v>7861967</v>
      </c>
      <c r="F427" s="18">
        <v>11147200</v>
      </c>
      <c r="G427" s="18">
        <v>11495042</v>
      </c>
      <c r="H427" s="18">
        <v>10600487</v>
      </c>
      <c r="I427" s="18">
        <v>10.647939682006836</v>
      </c>
      <c r="J427" s="18">
        <v>10.888992309570313</v>
      </c>
      <c r="K427" s="18">
        <v>10.593893051147461</v>
      </c>
    </row>
    <row r="428" spans="2:11">
      <c r="B428" s="18">
        <v>18</v>
      </c>
      <c r="C428" s="19">
        <v>7696019</v>
      </c>
      <c r="D428" s="18">
        <v>7720375</v>
      </c>
      <c r="E428" s="18">
        <v>7546496</v>
      </c>
      <c r="F428" s="18">
        <v>12558018</v>
      </c>
      <c r="G428" s="18">
        <v>11236527</v>
      </c>
      <c r="H428" s="18">
        <v>10776091</v>
      </c>
      <c r="I428" s="18">
        <v>11.752134323120117</v>
      </c>
      <c r="J428" s="18">
        <v>11.904387474060059</v>
      </c>
      <c r="K428" s="18">
        <v>12.272363662719727</v>
      </c>
    </row>
    <row r="429" spans="2:11">
      <c r="B429" s="18">
        <v>18</v>
      </c>
      <c r="C429" s="19">
        <v>7419784.5</v>
      </c>
      <c r="D429" s="18">
        <v>7464270.5</v>
      </c>
      <c r="E429" s="18">
        <v>7588013.5</v>
      </c>
      <c r="F429" s="18">
        <v>10896998</v>
      </c>
      <c r="G429" s="18">
        <v>11760489</v>
      </c>
      <c r="H429" s="18">
        <v>10052076</v>
      </c>
      <c r="I429" s="18">
        <v>11.54784107208252</v>
      </c>
      <c r="J429" s="18">
        <v>12.460427284240723</v>
      </c>
      <c r="K429" s="18">
        <v>11.300021171569824</v>
      </c>
    </row>
    <row r="430" spans="2:11">
      <c r="B430" s="18">
        <v>18</v>
      </c>
      <c r="C430" s="19">
        <v>7981107.5</v>
      </c>
      <c r="D430" s="18">
        <v>8166249.5</v>
      </c>
      <c r="E430" s="18">
        <v>7912443</v>
      </c>
      <c r="F430" s="18">
        <v>11115236</v>
      </c>
      <c r="G430" s="18">
        <v>11028779</v>
      </c>
      <c r="H430" s="18">
        <v>10693398</v>
      </c>
      <c r="I430" s="18">
        <v>12.224136352539063</v>
      </c>
      <c r="J430" s="18">
        <v>11.972949028015137</v>
      </c>
      <c r="K430" s="18">
        <v>10.904680252075195</v>
      </c>
    </row>
    <row r="431" spans="2:11">
      <c r="B431" s="18">
        <v>18</v>
      </c>
      <c r="C431" s="19">
        <v>7493802</v>
      </c>
      <c r="D431" s="18">
        <v>8091204.5</v>
      </c>
      <c r="E431" s="18">
        <v>7593856</v>
      </c>
      <c r="F431" s="18">
        <v>11392880</v>
      </c>
      <c r="G431" s="18">
        <v>11314886</v>
      </c>
      <c r="H431" s="18">
        <v>9566939</v>
      </c>
      <c r="I431" s="18">
        <v>10.057049751281738</v>
      </c>
      <c r="J431" s="18">
        <v>10.64467716217041</v>
      </c>
      <c r="K431" s="18">
        <v>9.7974443435668945</v>
      </c>
    </row>
    <row r="432" spans="2:11">
      <c r="B432" s="18">
        <v>18</v>
      </c>
      <c r="C432" s="19">
        <v>8041111</v>
      </c>
      <c r="D432" s="18">
        <v>8033654</v>
      </c>
      <c r="E432" s="18">
        <v>7541251</v>
      </c>
      <c r="F432" s="18">
        <v>10634751</v>
      </c>
      <c r="G432" s="18">
        <v>10887988</v>
      </c>
      <c r="H432" s="18">
        <v>10238366</v>
      </c>
      <c r="I432" s="18">
        <v>11.220614433288574</v>
      </c>
      <c r="J432" s="18">
        <v>10.188175201416016</v>
      </c>
      <c r="K432" s="18">
        <v>9.3054409027099609</v>
      </c>
    </row>
    <row r="433" spans="2:11">
      <c r="B433" s="18">
        <v>18</v>
      </c>
      <c r="C433" s="19">
        <v>7728775.5</v>
      </c>
      <c r="D433" s="18">
        <v>7774136</v>
      </c>
      <c r="E433" s="18">
        <v>7254557.5</v>
      </c>
      <c r="F433" s="18">
        <v>11664910</v>
      </c>
      <c r="G433" s="18">
        <v>12834360</v>
      </c>
      <c r="H433" s="18">
        <v>10952366</v>
      </c>
      <c r="I433" s="18">
        <v>11.521147727966309</v>
      </c>
      <c r="J433" s="18">
        <v>13.238157272338867</v>
      </c>
      <c r="K433" s="18">
        <v>11.416936874389648</v>
      </c>
    </row>
    <row r="434" spans="2:11">
      <c r="B434" s="18">
        <v>18</v>
      </c>
      <c r="C434" s="19">
        <v>7797265</v>
      </c>
      <c r="D434" s="18">
        <v>8082142.5</v>
      </c>
      <c r="E434" s="18">
        <v>7951668</v>
      </c>
      <c r="F434" s="18">
        <v>10472677</v>
      </c>
      <c r="G434" s="18">
        <v>10149030</v>
      </c>
      <c r="H434" s="18">
        <v>10318061</v>
      </c>
      <c r="I434" s="18">
        <v>11.390932083129883</v>
      </c>
      <c r="J434" s="18">
        <v>11.255629539489746</v>
      </c>
      <c r="K434" s="18">
        <v>10.668782234191895</v>
      </c>
    </row>
    <row r="435" spans="2:11">
      <c r="B435" s="18">
        <v>18</v>
      </c>
      <c r="C435" s="19">
        <v>8137499.5</v>
      </c>
      <c r="D435" s="18">
        <v>8366429.5</v>
      </c>
      <c r="E435" s="18">
        <v>8140536.5</v>
      </c>
      <c r="F435" s="18">
        <v>11046695</v>
      </c>
      <c r="G435" s="18">
        <v>11142665</v>
      </c>
      <c r="H435" s="18">
        <v>10593250</v>
      </c>
      <c r="I435" s="18">
        <v>11.569378852844238</v>
      </c>
      <c r="J435" s="18">
        <v>10.736552238464355</v>
      </c>
      <c r="K435" s="18">
        <v>10.09810733795166</v>
      </c>
    </row>
    <row r="436" spans="2:11">
      <c r="B436" s="18">
        <v>18</v>
      </c>
      <c r="C436" s="19">
        <v>7727111</v>
      </c>
      <c r="D436" s="18">
        <v>8023847.5</v>
      </c>
      <c r="E436" s="18">
        <v>7473445.5</v>
      </c>
      <c r="F436" s="18">
        <v>11791773</v>
      </c>
      <c r="G436" s="18">
        <v>10508829</v>
      </c>
      <c r="H436" s="18">
        <v>10659181</v>
      </c>
      <c r="I436" s="18">
        <v>12.68736743927002</v>
      </c>
      <c r="J436" s="18">
        <v>12.918580055236816</v>
      </c>
      <c r="K436" s="18">
        <v>11.543861389160156</v>
      </c>
    </row>
    <row r="437" spans="2:11">
      <c r="B437" s="18">
        <v>18</v>
      </c>
      <c r="C437" s="19">
        <v>7638506</v>
      </c>
      <c r="D437" s="18">
        <v>7822563.5</v>
      </c>
      <c r="E437" s="18">
        <v>7440703</v>
      </c>
      <c r="F437" s="18">
        <v>11142014</v>
      </c>
      <c r="G437" s="18">
        <v>11836364</v>
      </c>
      <c r="H437" s="18">
        <v>11153988</v>
      </c>
      <c r="I437" s="18">
        <v>13.22663688659668</v>
      </c>
      <c r="J437" s="18">
        <v>14.03359317779541</v>
      </c>
      <c r="K437" s="18">
        <v>12.615487098693848</v>
      </c>
    </row>
    <row r="438" spans="2:11">
      <c r="B438" s="18">
        <v>18</v>
      </c>
      <c r="C438" s="19">
        <v>7897941</v>
      </c>
      <c r="D438" s="18">
        <v>7658584</v>
      </c>
      <c r="E438" s="18">
        <v>7597730</v>
      </c>
      <c r="F438" s="18">
        <v>10806301</v>
      </c>
      <c r="G438" s="18">
        <v>10215231</v>
      </c>
      <c r="H438" s="18">
        <v>10284597</v>
      </c>
      <c r="I438" s="18">
        <v>13.276176452636719</v>
      </c>
      <c r="J438" s="18">
        <v>12.137948989868164</v>
      </c>
      <c r="K438" s="18">
        <v>11.009237289428711</v>
      </c>
    </row>
    <row r="439" spans="2:11">
      <c r="B439" s="18">
        <v>18</v>
      </c>
      <c r="C439" s="19">
        <v>7738905</v>
      </c>
      <c r="D439" s="18">
        <v>7860987</v>
      </c>
      <c r="E439" s="18">
        <v>7397173.5</v>
      </c>
      <c r="F439" s="18">
        <v>12219701</v>
      </c>
      <c r="G439" s="18">
        <v>11124578</v>
      </c>
      <c r="H439" s="18">
        <v>10169656</v>
      </c>
      <c r="I439" s="18">
        <v>13.473003387451172</v>
      </c>
      <c r="J439" s="18">
        <v>12.752706527709961</v>
      </c>
      <c r="K439" s="18">
        <v>11.553590774536133</v>
      </c>
    </row>
    <row r="440" spans="2:11">
      <c r="B440" s="18">
        <v>18</v>
      </c>
      <c r="C440" s="19">
        <v>7864245.5</v>
      </c>
      <c r="D440" s="18">
        <v>8133892.5</v>
      </c>
      <c r="E440" s="18">
        <v>7684068.5</v>
      </c>
      <c r="F440" s="18">
        <v>10485636</v>
      </c>
      <c r="G440" s="18">
        <v>11814295</v>
      </c>
      <c r="H440" s="18">
        <v>9853055</v>
      </c>
      <c r="I440" s="18">
        <v>9.8283481597900391</v>
      </c>
      <c r="J440" s="18">
        <v>10.312351226806641</v>
      </c>
      <c r="K440" s="18">
        <v>9.7384757995605469</v>
      </c>
    </row>
    <row r="441" spans="2:11">
      <c r="B441" s="18">
        <v>18</v>
      </c>
      <c r="C441" s="19">
        <v>7618650.5</v>
      </c>
      <c r="D441" s="18">
        <v>7975643</v>
      </c>
      <c r="E441" s="18">
        <v>7786947.5</v>
      </c>
      <c r="F441" s="18">
        <v>11611392</v>
      </c>
      <c r="G441" s="18">
        <v>10546477</v>
      </c>
      <c r="H441" s="18">
        <v>9975688</v>
      </c>
      <c r="I441" s="18">
        <v>11.218311309814453</v>
      </c>
      <c r="J441" s="18">
        <v>11.418981552124023</v>
      </c>
      <c r="K441" s="18">
        <v>10.595767021179199</v>
      </c>
    </row>
    <row r="442" spans="2:11">
      <c r="B442" s="18">
        <v>18</v>
      </c>
      <c r="C442" s="19">
        <v>7943316.5</v>
      </c>
      <c r="D442" s="18">
        <v>7791182</v>
      </c>
      <c r="E442" s="18">
        <v>7972103.5</v>
      </c>
      <c r="F442" s="18">
        <v>10724714</v>
      </c>
      <c r="G442" s="18">
        <v>11400709</v>
      </c>
      <c r="H442" s="18">
        <v>9903990</v>
      </c>
      <c r="I442" s="18">
        <v>11.315814018249512</v>
      </c>
      <c r="J442" s="18">
        <v>12.380829811096191</v>
      </c>
      <c r="K442" s="18">
        <v>9.8350772857666016</v>
      </c>
    </row>
    <row r="443" spans="2:11">
      <c r="B443" s="18">
        <v>18</v>
      </c>
      <c r="C443" s="19">
        <v>8159669.5</v>
      </c>
      <c r="D443" s="18">
        <v>8456798</v>
      </c>
      <c r="E443" s="18">
        <v>8095526</v>
      </c>
      <c r="F443" s="18">
        <v>10913678</v>
      </c>
      <c r="G443" s="18">
        <v>10785748</v>
      </c>
      <c r="H443" s="18">
        <v>10434911</v>
      </c>
      <c r="I443" s="18">
        <v>11.290229797363281</v>
      </c>
      <c r="J443" s="18">
        <v>11.430893898010254</v>
      </c>
      <c r="K443" s="18">
        <v>10.065920829772949</v>
      </c>
    </row>
    <row r="444" spans="2:11">
      <c r="B444" s="18">
        <v>18</v>
      </c>
      <c r="C444" s="19">
        <v>8118827.5</v>
      </c>
      <c r="D444" s="18">
        <v>7510485.5</v>
      </c>
      <c r="E444" s="18">
        <v>7681479</v>
      </c>
      <c r="F444" s="18">
        <v>11244690</v>
      </c>
      <c r="G444" s="18">
        <v>10741038</v>
      </c>
      <c r="H444" s="18">
        <v>10498503</v>
      </c>
      <c r="I444" s="18">
        <v>12.617484092712402</v>
      </c>
      <c r="J444" s="18">
        <v>12.049193382263184</v>
      </c>
      <c r="K444" s="18">
        <v>10.246706962585449</v>
      </c>
    </row>
    <row r="445" spans="2:11">
      <c r="B445" s="18">
        <v>18</v>
      </c>
      <c r="C445" s="19">
        <v>7980162</v>
      </c>
      <c r="D445" s="18">
        <v>8303109</v>
      </c>
      <c r="E445" s="18">
        <v>7838014.5</v>
      </c>
      <c r="F445" s="18">
        <v>11621613</v>
      </c>
      <c r="G445" s="18">
        <v>12080422</v>
      </c>
      <c r="H445" s="18">
        <v>10675001</v>
      </c>
      <c r="I445" s="18">
        <v>11.958035469055176</v>
      </c>
      <c r="J445" s="18">
        <v>12.691671371459961</v>
      </c>
      <c r="K445" s="18">
        <v>11.415921211242676</v>
      </c>
    </row>
    <row r="446" spans="2:11">
      <c r="B446" s="18">
        <v>18</v>
      </c>
      <c r="C446" s="19">
        <v>8421519</v>
      </c>
      <c r="D446" s="18">
        <v>8489009</v>
      </c>
      <c r="E446" s="18">
        <v>8268695.5</v>
      </c>
      <c r="F446" s="18">
        <v>11879173</v>
      </c>
      <c r="G446" s="18">
        <v>11148965</v>
      </c>
      <c r="H446" s="18">
        <v>10975528</v>
      </c>
      <c r="I446" s="18">
        <v>13.679931640625</v>
      </c>
      <c r="J446" s="18">
        <v>11.312630653381348</v>
      </c>
      <c r="K446" s="18">
        <v>12.754877090454102</v>
      </c>
    </row>
    <row r="447" spans="2:11">
      <c r="B447" s="18">
        <v>18</v>
      </c>
      <c r="C447" s="19">
        <v>7758551.5</v>
      </c>
      <c r="D447" s="18">
        <v>8356449.5</v>
      </c>
      <c r="E447" s="18">
        <v>7966076.5</v>
      </c>
      <c r="F447" s="18">
        <v>11156634</v>
      </c>
      <c r="G447" s="18">
        <v>11811682</v>
      </c>
      <c r="H447" s="18">
        <v>10577453</v>
      </c>
      <c r="I447" s="18">
        <v>10.703259468078613</v>
      </c>
      <c r="J447" s="18">
        <v>12.973063468933105</v>
      </c>
      <c r="K447" s="18">
        <v>10.798703193664551</v>
      </c>
    </row>
    <row r="448" spans="2:11">
      <c r="B448" s="18">
        <v>18</v>
      </c>
      <c r="C448" s="19">
        <v>7677025</v>
      </c>
      <c r="D448" s="18">
        <v>7918522.5</v>
      </c>
      <c r="E448" s="18">
        <v>7401061</v>
      </c>
      <c r="F448" s="18">
        <v>10584222</v>
      </c>
      <c r="G448" s="18">
        <v>10652988</v>
      </c>
      <c r="H448" s="18">
        <v>10171322</v>
      </c>
      <c r="I448" s="18">
        <v>10.931632995605469</v>
      </c>
      <c r="J448" s="18">
        <v>10.901217460632324</v>
      </c>
      <c r="K448" s="18">
        <v>11.36501407623291</v>
      </c>
    </row>
    <row r="449" spans="2:11">
      <c r="B449" s="18">
        <v>18</v>
      </c>
      <c r="C449" s="19">
        <v>7853725.5</v>
      </c>
      <c r="D449" s="18">
        <v>7760278</v>
      </c>
      <c r="E449" s="18">
        <v>7340544.5</v>
      </c>
      <c r="F449" s="18">
        <v>11452533</v>
      </c>
      <c r="G449" s="18">
        <v>11058114</v>
      </c>
      <c r="H449" s="18">
        <v>11354630</v>
      </c>
      <c r="I449" s="18">
        <v>11.49229621887207</v>
      </c>
      <c r="J449" s="18">
        <v>10.941702842712402</v>
      </c>
      <c r="K449" s="18">
        <v>10.556304931640625</v>
      </c>
    </row>
    <row r="450" spans="2:11">
      <c r="B450" s="18">
        <v>18</v>
      </c>
      <c r="C450" s="19">
        <v>7790607.5</v>
      </c>
      <c r="D450" s="18">
        <v>8040427.5</v>
      </c>
      <c r="E450" s="18">
        <v>7484444.5</v>
      </c>
      <c r="F450" s="18">
        <v>9877473</v>
      </c>
      <c r="G450" s="18">
        <v>11193681</v>
      </c>
      <c r="H450" s="18">
        <v>9520692</v>
      </c>
      <c r="I450" s="18">
        <v>10.522419929504395</v>
      </c>
      <c r="J450" s="18">
        <v>11.9832763671875</v>
      </c>
      <c r="K450" s="18">
        <v>10.054097175598145</v>
      </c>
    </row>
    <row r="451" spans="2:11">
      <c r="B451" s="18">
        <v>18</v>
      </c>
      <c r="C451" s="19">
        <v>8071688</v>
      </c>
      <c r="D451" s="18">
        <v>7767852.5</v>
      </c>
      <c r="E451" s="18">
        <v>7628401.5</v>
      </c>
      <c r="F451" s="18">
        <v>10865798</v>
      </c>
      <c r="G451" s="18">
        <v>11418733</v>
      </c>
      <c r="H451" s="18">
        <v>12508331</v>
      </c>
      <c r="I451" s="18">
        <v>11.157559394836426</v>
      </c>
      <c r="J451" s="18">
        <v>11.702354431152344</v>
      </c>
      <c r="K451" s="18">
        <v>11.862974166870117</v>
      </c>
    </row>
    <row r="452" spans="2:11">
      <c r="B452" s="18">
        <v>20</v>
      </c>
      <c r="C452" s="19">
        <v>8702961</v>
      </c>
      <c r="D452" s="18">
        <v>8491578</v>
      </c>
      <c r="E452" s="18">
        <v>8818001</v>
      </c>
      <c r="F452" s="18">
        <v>10913649</v>
      </c>
      <c r="G452" s="18">
        <v>10577343</v>
      </c>
      <c r="H452" s="18">
        <v>10123773</v>
      </c>
      <c r="I452" s="18">
        <v>10.327005386352539</v>
      </c>
      <c r="J452" s="18">
        <v>10.121945381164551</v>
      </c>
      <c r="K452" s="18">
        <v>10.27847957611084</v>
      </c>
    </row>
    <row r="453" spans="2:11">
      <c r="B453" s="18">
        <v>20</v>
      </c>
      <c r="C453" s="19">
        <v>9030867</v>
      </c>
      <c r="D453" s="18">
        <v>8668944</v>
      </c>
      <c r="E453" s="18">
        <v>8491171</v>
      </c>
      <c r="F453" s="18">
        <v>11496522</v>
      </c>
      <c r="G453" s="18">
        <v>11236855</v>
      </c>
      <c r="H453" s="18">
        <v>10774379</v>
      </c>
      <c r="I453" s="18">
        <v>11.758722305297852</v>
      </c>
      <c r="J453" s="18">
        <v>11.76596736907959</v>
      </c>
      <c r="K453" s="18">
        <v>10.886621475219727</v>
      </c>
    </row>
    <row r="454" spans="2:11">
      <c r="B454" s="18">
        <v>20</v>
      </c>
      <c r="C454" s="19">
        <v>8447384</v>
      </c>
      <c r="D454" s="18">
        <v>8268355.5</v>
      </c>
      <c r="E454" s="18">
        <v>8309105</v>
      </c>
      <c r="F454" s="18">
        <v>10578025</v>
      </c>
      <c r="G454" s="18">
        <v>9685274</v>
      </c>
      <c r="H454" s="18">
        <v>9880128</v>
      </c>
      <c r="I454" s="18">
        <v>9.1129922866821289</v>
      </c>
      <c r="J454" s="18">
        <v>9.6740264892578125</v>
      </c>
      <c r="K454" s="18">
        <v>8.7457332611083984</v>
      </c>
    </row>
    <row r="455" spans="2:11">
      <c r="B455" s="18">
        <v>20</v>
      </c>
      <c r="C455" s="19">
        <v>8442893</v>
      </c>
      <c r="D455" s="18">
        <v>8876838</v>
      </c>
      <c r="E455" s="18">
        <v>8308046</v>
      </c>
      <c r="F455" s="18">
        <v>10063490</v>
      </c>
      <c r="G455" s="18">
        <v>10191966</v>
      </c>
      <c r="H455" s="18">
        <v>10334153</v>
      </c>
      <c r="I455" s="18">
        <v>9.7483768463134766</v>
      </c>
      <c r="J455" s="18">
        <v>9.6289806365966797</v>
      </c>
      <c r="K455" s="18">
        <v>9.4908256530761719</v>
      </c>
    </row>
    <row r="456" spans="2:11">
      <c r="B456" s="18">
        <v>20</v>
      </c>
      <c r="C456" s="19">
        <v>8029585.5</v>
      </c>
      <c r="D456" s="18">
        <v>8399268</v>
      </c>
      <c r="E456" s="18">
        <v>8088002.5</v>
      </c>
      <c r="F456" s="18">
        <v>10459357</v>
      </c>
      <c r="G456" s="18">
        <v>10686389</v>
      </c>
      <c r="H456" s="18">
        <v>10026928</v>
      </c>
      <c r="I456" s="18">
        <v>10.073221206665039</v>
      </c>
      <c r="J456" s="18">
        <v>11.027270317077637</v>
      </c>
      <c r="K456" s="18">
        <v>10.283045768737793</v>
      </c>
    </row>
    <row r="457" spans="2:11">
      <c r="B457" s="18">
        <v>20</v>
      </c>
      <c r="C457" s="19">
        <v>8135016</v>
      </c>
      <c r="D457" s="18">
        <v>8175266.5</v>
      </c>
      <c r="E457" s="18">
        <v>7696124.5</v>
      </c>
      <c r="F457" s="18">
        <v>10513810</v>
      </c>
      <c r="G457" s="18">
        <v>10833503</v>
      </c>
      <c r="H457" s="18">
        <v>10617810</v>
      </c>
      <c r="I457" s="18">
        <v>9.6043844223022461</v>
      </c>
      <c r="J457" s="18">
        <v>10.628192901611328</v>
      </c>
      <c r="K457" s="18">
        <v>9.7349815368652344</v>
      </c>
    </row>
    <row r="458" spans="2:11">
      <c r="B458" s="18">
        <v>20</v>
      </c>
      <c r="C458" s="19">
        <v>8170025.5</v>
      </c>
      <c r="D458" s="18">
        <v>8132741.5</v>
      </c>
      <c r="E458" s="18">
        <v>7525477</v>
      </c>
      <c r="F458" s="18">
        <v>10143053</v>
      </c>
      <c r="G458" s="18">
        <v>10599099</v>
      </c>
      <c r="H458" s="18">
        <v>10034428</v>
      </c>
      <c r="I458" s="18">
        <v>10.481094360351563</v>
      </c>
      <c r="J458" s="18">
        <v>10.135800361633301</v>
      </c>
      <c r="K458" s="18">
        <v>8.990361213684082</v>
      </c>
    </row>
    <row r="459" spans="2:11">
      <c r="B459" s="18">
        <v>20</v>
      </c>
      <c r="C459" s="19">
        <v>9090852</v>
      </c>
      <c r="D459" s="18">
        <v>8664049</v>
      </c>
      <c r="E459" s="18">
        <v>8530701</v>
      </c>
      <c r="F459" s="18">
        <v>11379162</v>
      </c>
      <c r="G459" s="18">
        <v>10900270</v>
      </c>
      <c r="H459" s="18">
        <v>10337121</v>
      </c>
      <c r="I459" s="18">
        <v>10.292530059814453</v>
      </c>
      <c r="J459" s="18">
        <v>9.9248437881469727</v>
      </c>
      <c r="K459" s="18">
        <v>9.6172065734863281</v>
      </c>
    </row>
    <row r="460" spans="2:11">
      <c r="B460" s="18">
        <v>20</v>
      </c>
      <c r="C460" s="19">
        <v>8184158.5</v>
      </c>
      <c r="D460" s="18">
        <v>8471019</v>
      </c>
      <c r="E460" s="18">
        <v>8089572.5</v>
      </c>
      <c r="F460" s="18">
        <v>10730824</v>
      </c>
      <c r="G460" s="18">
        <v>10497652</v>
      </c>
      <c r="H460" s="18">
        <v>11004118</v>
      </c>
      <c r="I460" s="18">
        <v>10.485151290893555</v>
      </c>
      <c r="J460" s="18">
        <v>10.859994888305664</v>
      </c>
      <c r="K460" s="18">
        <v>10.152185440063477</v>
      </c>
    </row>
    <row r="461" spans="2:11">
      <c r="B461" s="18">
        <v>20</v>
      </c>
      <c r="C461" s="19">
        <v>7874267</v>
      </c>
      <c r="D461" s="18">
        <v>8187067</v>
      </c>
      <c r="E461" s="18">
        <v>7808660</v>
      </c>
      <c r="F461" s="18">
        <v>10567627</v>
      </c>
      <c r="G461" s="18">
        <v>10696486</v>
      </c>
      <c r="H461" s="18">
        <v>9958889</v>
      </c>
      <c r="I461" s="18">
        <v>10.910307884216309</v>
      </c>
      <c r="J461" s="18">
        <v>11.764962196350098</v>
      </c>
      <c r="K461" s="18">
        <v>9.7552785873413086</v>
      </c>
    </row>
    <row r="462" spans="2:11">
      <c r="B462" s="18">
        <v>20</v>
      </c>
      <c r="C462" s="19">
        <v>8481619</v>
      </c>
      <c r="D462" s="18">
        <v>8634170</v>
      </c>
      <c r="E462" s="18">
        <v>8779862</v>
      </c>
      <c r="F462" s="18">
        <v>10233916</v>
      </c>
      <c r="G462" s="18">
        <v>10864152</v>
      </c>
      <c r="H462" s="18">
        <v>9857142</v>
      </c>
      <c r="I462" s="18">
        <v>9.595088005065918</v>
      </c>
      <c r="J462" s="18">
        <v>10.527604103088379</v>
      </c>
      <c r="K462" s="18">
        <v>9.2844610214233398</v>
      </c>
    </row>
    <row r="463" spans="2:11">
      <c r="B463" s="18">
        <v>20</v>
      </c>
      <c r="C463" s="19">
        <v>8821862</v>
      </c>
      <c r="D463" s="18">
        <v>8578513</v>
      </c>
      <c r="E463" s="18">
        <v>8068556</v>
      </c>
      <c r="F463" s="18">
        <v>10074743</v>
      </c>
      <c r="G463" s="18">
        <v>10081438</v>
      </c>
      <c r="H463" s="18">
        <v>9187591</v>
      </c>
      <c r="I463" s="18">
        <v>10.733250617980957</v>
      </c>
      <c r="J463" s="18">
        <v>10.152130126953125</v>
      </c>
      <c r="K463" s="18">
        <v>9.3626747131347656</v>
      </c>
    </row>
    <row r="464" spans="2:11">
      <c r="B464" s="18">
        <v>20</v>
      </c>
      <c r="C464" s="19">
        <v>8570426</v>
      </c>
      <c r="D464" s="18">
        <v>8870774</v>
      </c>
      <c r="E464" s="18">
        <v>8309383.5</v>
      </c>
      <c r="F464" s="18">
        <v>10953241</v>
      </c>
      <c r="G464" s="18">
        <v>11369629</v>
      </c>
      <c r="H464" s="18">
        <v>11279047</v>
      </c>
      <c r="I464" s="18">
        <v>11.156671524047852</v>
      </c>
      <c r="J464" s="18">
        <v>11.895634651184082</v>
      </c>
      <c r="K464" s="18">
        <v>11.324713706970215</v>
      </c>
    </row>
    <row r="465" spans="2:11">
      <c r="B465" s="18">
        <v>20</v>
      </c>
      <c r="C465" s="19">
        <v>8665486</v>
      </c>
      <c r="D465" s="18">
        <v>8171464</v>
      </c>
      <c r="E465" s="18">
        <v>8147378.5</v>
      </c>
      <c r="F465" s="18">
        <v>11171814</v>
      </c>
      <c r="G465" s="18">
        <v>11212211</v>
      </c>
      <c r="H465" s="18">
        <v>10208677</v>
      </c>
      <c r="I465" s="18">
        <v>11.056553840637207</v>
      </c>
      <c r="J465" s="18">
        <v>9.6298761367797852</v>
      </c>
      <c r="K465" s="18">
        <v>9.6248664855957031</v>
      </c>
    </row>
    <row r="466" spans="2:11">
      <c r="B466" s="18">
        <v>20</v>
      </c>
      <c r="C466" s="19">
        <v>8144446.5</v>
      </c>
      <c r="D466" s="18">
        <v>8570383</v>
      </c>
      <c r="E466" s="18">
        <v>7780284.5</v>
      </c>
      <c r="F466" s="18">
        <v>10894819</v>
      </c>
      <c r="G466" s="18">
        <v>10261269</v>
      </c>
      <c r="H466" s="18">
        <v>9734470</v>
      </c>
      <c r="I466" s="18">
        <v>10.859234809875488</v>
      </c>
      <c r="J466" s="18">
        <v>10.423364639282227</v>
      </c>
      <c r="K466" s="18">
        <v>8.7777643203735352</v>
      </c>
    </row>
    <row r="467" spans="2:11">
      <c r="B467" s="18">
        <v>20</v>
      </c>
      <c r="C467" s="19">
        <v>8780426</v>
      </c>
      <c r="D467" s="18">
        <v>8734475</v>
      </c>
      <c r="E467" s="18">
        <v>8494900</v>
      </c>
      <c r="F467" s="18">
        <v>11498049</v>
      </c>
      <c r="G467" s="18">
        <v>12423032</v>
      </c>
      <c r="H467" s="18">
        <v>11054749</v>
      </c>
      <c r="I467" s="18">
        <v>10.468573570251465</v>
      </c>
      <c r="J467" s="18">
        <v>11.14080810546875</v>
      </c>
      <c r="K467" s="18">
        <v>9.1804075241088867</v>
      </c>
    </row>
    <row r="468" spans="2:11">
      <c r="B468" s="18">
        <v>20</v>
      </c>
      <c r="C468" s="19">
        <v>8080110</v>
      </c>
      <c r="D468" s="18">
        <v>8239726.5</v>
      </c>
      <c r="E468" s="18">
        <v>8408186</v>
      </c>
      <c r="F468" s="18">
        <v>9767121</v>
      </c>
      <c r="G468" s="18">
        <v>11069000</v>
      </c>
      <c r="H468" s="18">
        <v>9893670</v>
      </c>
      <c r="I468" s="18">
        <v>9.9386320114135742</v>
      </c>
      <c r="J468" s="18">
        <v>10.547500610351563</v>
      </c>
      <c r="K468" s="18">
        <v>8.7676172256469727</v>
      </c>
    </row>
    <row r="469" spans="2:11">
      <c r="B469" s="18">
        <v>20</v>
      </c>
      <c r="C469" s="19">
        <v>8271715</v>
      </c>
      <c r="D469" s="18">
        <v>8412919</v>
      </c>
      <c r="E469" s="18">
        <v>8361443.5</v>
      </c>
      <c r="F469" s="18">
        <v>10612753</v>
      </c>
      <c r="G469" s="18">
        <v>11036741</v>
      </c>
      <c r="H469" s="18">
        <v>9934362</v>
      </c>
      <c r="I469" s="18">
        <v>12.489338874816895</v>
      </c>
      <c r="J469" s="18">
        <v>11.347367286682129</v>
      </c>
      <c r="K469" s="18">
        <v>11.232149124145508</v>
      </c>
    </row>
    <row r="470" spans="2:11">
      <c r="B470" s="18">
        <v>20</v>
      </c>
      <c r="C470" s="19">
        <v>8202163</v>
      </c>
      <c r="D470" s="18">
        <v>8467531</v>
      </c>
      <c r="E470" s="18">
        <v>8416998</v>
      </c>
      <c r="F470" s="18">
        <v>11223037</v>
      </c>
      <c r="G470" s="18">
        <v>10743836</v>
      </c>
      <c r="H470" s="18">
        <v>10841415</v>
      </c>
      <c r="I470" s="18">
        <v>10.458086967468262</v>
      </c>
      <c r="J470" s="18">
        <v>9.9240150451660156</v>
      </c>
      <c r="K470" s="18">
        <v>11.17795467376709</v>
      </c>
    </row>
    <row r="471" spans="2:11">
      <c r="B471" s="18">
        <v>20</v>
      </c>
      <c r="C471" s="19">
        <v>8519112</v>
      </c>
      <c r="D471" s="18">
        <v>8733832</v>
      </c>
      <c r="E471" s="18">
        <v>8098731.5</v>
      </c>
      <c r="F471" s="18">
        <v>11466591</v>
      </c>
      <c r="G471" s="18">
        <v>10815031</v>
      </c>
      <c r="H471" s="18">
        <v>10719280</v>
      </c>
      <c r="I471" s="18">
        <v>10.372244834899902</v>
      </c>
      <c r="J471" s="18">
        <v>10.152471542358398</v>
      </c>
      <c r="K471" s="18">
        <v>9.8659534454345703</v>
      </c>
    </row>
    <row r="472" spans="2:11">
      <c r="B472" s="18">
        <v>20</v>
      </c>
      <c r="C472" s="19">
        <v>8157782</v>
      </c>
      <c r="D472" s="18">
        <v>8763229</v>
      </c>
      <c r="E472" s="18">
        <v>8195977.5</v>
      </c>
      <c r="F472" s="18">
        <v>11863043</v>
      </c>
      <c r="G472" s="18">
        <v>11999585</v>
      </c>
      <c r="H472" s="18">
        <v>11401234</v>
      </c>
      <c r="I472" s="18">
        <v>13.101114273071289</v>
      </c>
      <c r="J472" s="18">
        <v>10.675177574157715</v>
      </c>
      <c r="K472" s="18">
        <v>10.721637725830078</v>
      </c>
    </row>
    <row r="473" spans="2:11">
      <c r="B473" s="18">
        <v>20</v>
      </c>
      <c r="C473" s="19">
        <v>8731433</v>
      </c>
      <c r="D473" s="18">
        <v>8411777</v>
      </c>
      <c r="E473" s="18">
        <v>8319511</v>
      </c>
      <c r="F473" s="18">
        <v>11766344</v>
      </c>
      <c r="G473" s="18">
        <v>11782627</v>
      </c>
      <c r="H473" s="18">
        <v>10875489</v>
      </c>
      <c r="I473" s="18">
        <v>12.239339828491211</v>
      </c>
      <c r="J473" s="18">
        <v>10.907121658325195</v>
      </c>
      <c r="K473" s="18">
        <v>10.403279304504395</v>
      </c>
    </row>
    <row r="474" spans="2:11">
      <c r="B474" s="18">
        <v>20</v>
      </c>
      <c r="C474" s="19">
        <v>8412623</v>
      </c>
      <c r="D474" s="18">
        <v>8333734.5</v>
      </c>
      <c r="E474" s="18">
        <v>7936366</v>
      </c>
      <c r="F474" s="18">
        <v>12724106</v>
      </c>
      <c r="G474" s="18">
        <v>11834411</v>
      </c>
      <c r="H474" s="18">
        <v>10953862</v>
      </c>
      <c r="I474" s="18">
        <v>12.862800598144531</v>
      </c>
      <c r="J474" s="18">
        <v>12.516621589660645</v>
      </c>
      <c r="K474" s="18">
        <v>13.332456588745117</v>
      </c>
    </row>
    <row r="475" spans="2:11">
      <c r="B475" s="18">
        <v>20</v>
      </c>
      <c r="C475" s="19">
        <v>8194105</v>
      </c>
      <c r="D475" s="18">
        <v>8451800</v>
      </c>
      <c r="E475" s="18">
        <v>8040397.5</v>
      </c>
      <c r="F475" s="18">
        <v>10895581</v>
      </c>
      <c r="G475" s="18">
        <v>10692957</v>
      </c>
      <c r="H475" s="18">
        <v>10984009</v>
      </c>
      <c r="I475" s="18">
        <v>10.865875244140625</v>
      </c>
      <c r="J475" s="18">
        <v>10.704921722412109</v>
      </c>
      <c r="K475" s="18">
        <v>9.6973390579223633</v>
      </c>
    </row>
    <row r="476" spans="2:11">
      <c r="B476" s="18">
        <v>20</v>
      </c>
      <c r="C476" s="19">
        <v>8114277</v>
      </c>
      <c r="D476" s="18">
        <v>8193324</v>
      </c>
      <c r="E476" s="18">
        <v>8097338.5</v>
      </c>
      <c r="F476" s="18">
        <v>10069109</v>
      </c>
      <c r="G476" s="18">
        <v>11182811</v>
      </c>
      <c r="H476" s="18">
        <v>10357143</v>
      </c>
      <c r="I476" s="18">
        <v>10.22041130065918</v>
      </c>
      <c r="J476" s="18">
        <v>10.41545581817627</v>
      </c>
      <c r="K476" s="18">
        <v>10.310408592224121</v>
      </c>
    </row>
    <row r="477" spans="2:11">
      <c r="B477" s="18">
        <v>20</v>
      </c>
      <c r="C477" s="19">
        <v>8684578</v>
      </c>
      <c r="D477" s="18">
        <v>8204190.5</v>
      </c>
      <c r="E477" s="18">
        <v>8339339.5</v>
      </c>
      <c r="F477" s="18">
        <v>10663254</v>
      </c>
      <c r="G477" s="18">
        <v>10992638</v>
      </c>
      <c r="H477" s="18">
        <v>10554076</v>
      </c>
      <c r="I477" s="18">
        <v>11.070590019226074</v>
      </c>
      <c r="J477" s="18">
        <v>10.682766914367676</v>
      </c>
      <c r="K477" s="18">
        <v>10.428379058837891</v>
      </c>
    </row>
    <row r="478" spans="2:11">
      <c r="B478" s="18">
        <v>20</v>
      </c>
      <c r="C478" s="19">
        <v>8895602</v>
      </c>
      <c r="D478" s="18">
        <v>8759012</v>
      </c>
      <c r="E478" s="18">
        <v>8657117</v>
      </c>
      <c r="F478" s="18">
        <v>11075581</v>
      </c>
      <c r="G478" s="18">
        <v>11136241</v>
      </c>
      <c r="H478" s="18">
        <v>10700701</v>
      </c>
      <c r="I478" s="18">
        <v>10.20076847076416</v>
      </c>
      <c r="J478" s="18">
        <v>10.584567070007324</v>
      </c>
      <c r="K478" s="18">
        <v>9.4944696426391602</v>
      </c>
    </row>
    <row r="479" spans="2:11">
      <c r="B479" s="18">
        <v>20</v>
      </c>
      <c r="C479" s="19">
        <v>8400282</v>
      </c>
      <c r="D479" s="18">
        <v>7998542</v>
      </c>
      <c r="E479" s="18">
        <v>8080610</v>
      </c>
      <c r="F479" s="18">
        <v>12463029</v>
      </c>
      <c r="G479" s="18">
        <v>11269681</v>
      </c>
      <c r="H479" s="18">
        <v>10761431</v>
      </c>
      <c r="I479" s="18">
        <v>11.39936637878418</v>
      </c>
      <c r="J479" s="18">
        <v>11.010323524475098</v>
      </c>
      <c r="K479" s="18">
        <v>9.2921113967895508</v>
      </c>
    </row>
    <row r="480" spans="2:11">
      <c r="B480" s="18">
        <v>20</v>
      </c>
      <c r="C480" s="19">
        <v>8116494</v>
      </c>
      <c r="D480" s="18">
        <v>8803204</v>
      </c>
      <c r="E480" s="18">
        <v>8032920.5</v>
      </c>
      <c r="F480" s="18">
        <v>11591329</v>
      </c>
      <c r="G480" s="18">
        <v>11821854</v>
      </c>
      <c r="H480" s="18">
        <v>10240092</v>
      </c>
      <c r="I480" s="18">
        <v>10.820184707641602</v>
      </c>
      <c r="J480" s="18">
        <v>12.90796947479248</v>
      </c>
      <c r="K480" s="18">
        <v>9.7564401626586914</v>
      </c>
    </row>
    <row r="481" spans="2:11">
      <c r="B481" s="18">
        <v>20</v>
      </c>
      <c r="C481" s="19">
        <v>8337156</v>
      </c>
      <c r="D481" s="18">
        <v>8661690</v>
      </c>
      <c r="E481" s="18">
        <v>8730242</v>
      </c>
      <c r="F481" s="18">
        <v>11533873</v>
      </c>
      <c r="G481" s="18">
        <v>11793307</v>
      </c>
      <c r="H481" s="18">
        <v>10712648</v>
      </c>
      <c r="I481" s="18">
        <v>10.797391891479492</v>
      </c>
      <c r="J481" s="18">
        <v>10.485872268676758</v>
      </c>
      <c r="K481" s="18">
        <v>10.93040657043457</v>
      </c>
    </row>
    <row r="482" spans="2:11">
      <c r="B482" s="18">
        <v>20</v>
      </c>
      <c r="C482" s="19">
        <v>8574258</v>
      </c>
      <c r="D482" s="18">
        <v>8782061</v>
      </c>
      <c r="E482" s="18">
        <v>8242196</v>
      </c>
      <c r="F482" s="18">
        <v>10625019</v>
      </c>
      <c r="G482" s="18">
        <v>11112737</v>
      </c>
      <c r="H482" s="18">
        <v>10631238</v>
      </c>
      <c r="I482" s="18">
        <v>12.046049118041992</v>
      </c>
      <c r="J482" s="18">
        <v>11.517544746398926</v>
      </c>
      <c r="K482" s="18">
        <v>11.668601989746094</v>
      </c>
    </row>
    <row r="483" spans="2:11">
      <c r="B483" s="18">
        <v>20</v>
      </c>
      <c r="C483" s="19">
        <v>8754056</v>
      </c>
      <c r="D483" s="18">
        <v>9028254</v>
      </c>
      <c r="E483" s="18">
        <v>8447530</v>
      </c>
      <c r="F483" s="18">
        <v>11386744</v>
      </c>
      <c r="G483" s="18">
        <v>11021920</v>
      </c>
      <c r="H483" s="18">
        <v>10323254</v>
      </c>
      <c r="I483" s="18">
        <v>11.058451652526855</v>
      </c>
      <c r="J483" s="18">
        <v>11.244706153869629</v>
      </c>
      <c r="K483" s="18">
        <v>9.5199871063232422</v>
      </c>
    </row>
    <row r="484" spans="2:11">
      <c r="B484" s="18">
        <v>20</v>
      </c>
      <c r="C484" s="19">
        <v>8722401</v>
      </c>
      <c r="D484" s="18">
        <v>8577080</v>
      </c>
      <c r="E484" s="18">
        <v>8506091</v>
      </c>
      <c r="F484" s="18">
        <v>12374013</v>
      </c>
      <c r="G484" s="18">
        <v>10911575</v>
      </c>
      <c r="H484" s="18">
        <v>10705912</v>
      </c>
      <c r="I484" s="18">
        <v>13.03923511505127</v>
      </c>
      <c r="J484" s="18">
        <v>11.145025253295898</v>
      </c>
      <c r="K484" s="18">
        <v>11.892318725585938</v>
      </c>
    </row>
    <row r="485" spans="2:11">
      <c r="B485" s="18">
        <v>20</v>
      </c>
      <c r="C485" s="19">
        <v>8643054</v>
      </c>
      <c r="D485" s="18">
        <v>8507849</v>
      </c>
      <c r="E485" s="18">
        <v>8531252</v>
      </c>
      <c r="F485" s="18">
        <v>10067185</v>
      </c>
      <c r="G485" s="18">
        <v>10710210</v>
      </c>
      <c r="H485" s="18">
        <v>10289487</v>
      </c>
      <c r="I485" s="18">
        <v>9.5496358871459961</v>
      </c>
      <c r="J485" s="18">
        <v>10.071426391601563</v>
      </c>
      <c r="K485" s="18">
        <v>8.9448890686035156</v>
      </c>
    </row>
    <row r="486" spans="2:11">
      <c r="B486" s="18">
        <v>20</v>
      </c>
      <c r="C486" s="19">
        <v>9156754</v>
      </c>
      <c r="D486" s="18">
        <v>8699301</v>
      </c>
      <c r="E486" s="18">
        <v>8648038</v>
      </c>
      <c r="F486" s="18">
        <v>10505289</v>
      </c>
      <c r="G486" s="18">
        <v>10726273</v>
      </c>
      <c r="H486" s="18">
        <v>10041384</v>
      </c>
      <c r="I486" s="18">
        <v>10.47556209564209</v>
      </c>
      <c r="J486" s="18">
        <v>9.755497932434082</v>
      </c>
      <c r="K486" s="18">
        <v>9.6895046234130859</v>
      </c>
    </row>
    <row r="487" spans="2:11">
      <c r="B487" s="18">
        <v>20</v>
      </c>
      <c r="C487" s="19">
        <v>8871652</v>
      </c>
      <c r="D487" s="18">
        <v>8651281</v>
      </c>
      <c r="E487" s="18">
        <v>8651212</v>
      </c>
      <c r="F487" s="18">
        <v>11571634</v>
      </c>
      <c r="G487" s="18">
        <v>11010623</v>
      </c>
      <c r="H487" s="18">
        <v>10790882</v>
      </c>
      <c r="I487" s="18">
        <v>11.648372650146484</v>
      </c>
      <c r="J487" s="18">
        <v>11.792746543884277</v>
      </c>
      <c r="K487" s="18">
        <v>10.332359313964844</v>
      </c>
    </row>
    <row r="488" spans="2:11">
      <c r="B488" s="18">
        <v>20</v>
      </c>
      <c r="C488" s="19">
        <v>9340063</v>
      </c>
      <c r="D488" s="18">
        <v>9019910</v>
      </c>
      <c r="E488" s="18">
        <v>8775257</v>
      </c>
      <c r="F488" s="18">
        <v>11495338</v>
      </c>
      <c r="G488" s="18">
        <v>11952183</v>
      </c>
      <c r="H488" s="18">
        <v>11136772</v>
      </c>
      <c r="I488" s="18">
        <v>12.529848098754883</v>
      </c>
      <c r="J488" s="18">
        <v>12.51976490020752</v>
      </c>
      <c r="K488" s="18">
        <v>12.291872978210449</v>
      </c>
    </row>
    <row r="489" spans="2:11">
      <c r="B489" s="18">
        <v>20</v>
      </c>
      <c r="C489" s="19">
        <v>8667773</v>
      </c>
      <c r="D489" s="18">
        <v>8162474.5</v>
      </c>
      <c r="E489" s="18">
        <v>8427999</v>
      </c>
      <c r="F489" s="18">
        <v>10326073</v>
      </c>
      <c r="G489" s="18">
        <v>10629425</v>
      </c>
      <c r="H489" s="18">
        <v>10560402</v>
      </c>
      <c r="I489" s="18">
        <v>9.9607172012329102</v>
      </c>
      <c r="J489" s="18">
        <v>10.492035865783691</v>
      </c>
      <c r="K489" s="18">
        <v>10.042464256286621</v>
      </c>
    </row>
    <row r="490" spans="2:11">
      <c r="B490" s="18">
        <v>20</v>
      </c>
      <c r="C490" s="19">
        <v>9188330</v>
      </c>
      <c r="D490" s="18">
        <v>9053758</v>
      </c>
      <c r="E490" s="18">
        <v>8986222</v>
      </c>
      <c r="F490" s="18">
        <v>10076408</v>
      </c>
      <c r="G490" s="18">
        <v>10499484</v>
      </c>
      <c r="H490" s="18">
        <v>10485711</v>
      </c>
      <c r="I490" s="18">
        <v>9.521885871887207</v>
      </c>
      <c r="J490" s="18">
        <v>10.107729911804199</v>
      </c>
      <c r="K490" s="18">
        <v>8.8788890838623047</v>
      </c>
    </row>
    <row r="491" spans="2:11">
      <c r="B491" s="18">
        <v>20</v>
      </c>
      <c r="C491" s="19">
        <v>8626252</v>
      </c>
      <c r="D491" s="18">
        <v>8575699</v>
      </c>
      <c r="E491" s="18">
        <v>8948575</v>
      </c>
      <c r="F491" s="18">
        <v>10878786</v>
      </c>
      <c r="G491" s="18">
        <v>11512828</v>
      </c>
      <c r="H491" s="18">
        <v>10757151</v>
      </c>
      <c r="I491" s="18">
        <v>10.864087104797363</v>
      </c>
      <c r="J491" s="18">
        <v>11.655497550964355</v>
      </c>
      <c r="K491" s="18">
        <v>9.768376350402832</v>
      </c>
    </row>
    <row r="492" spans="2:11">
      <c r="B492" s="18">
        <v>20</v>
      </c>
      <c r="C492" s="19">
        <v>8381794</v>
      </c>
      <c r="D492" s="18">
        <v>8191866.5</v>
      </c>
      <c r="E492" s="18">
        <v>8157886</v>
      </c>
      <c r="F492" s="18">
        <v>10692632</v>
      </c>
      <c r="G492" s="18">
        <v>10641991</v>
      </c>
      <c r="H492" s="18">
        <v>10901852</v>
      </c>
      <c r="I492" s="18">
        <v>11.063879013061523</v>
      </c>
      <c r="J492" s="18">
        <v>11.787068367004395</v>
      </c>
      <c r="K492" s="18">
        <v>11.492380142211914</v>
      </c>
    </row>
    <row r="493" spans="2:11">
      <c r="B493" s="18">
        <v>20</v>
      </c>
      <c r="C493" s="19">
        <v>9023492</v>
      </c>
      <c r="D493" s="18">
        <v>8586237</v>
      </c>
      <c r="E493" s="18">
        <v>8759135</v>
      </c>
      <c r="F493" s="18">
        <v>11408696</v>
      </c>
      <c r="G493" s="18">
        <v>11136519</v>
      </c>
      <c r="H493" s="18">
        <v>10597866</v>
      </c>
      <c r="I493" s="18">
        <v>12.746869087219238</v>
      </c>
      <c r="J493" s="18">
        <v>11.78305721282959</v>
      </c>
      <c r="K493" s="18">
        <v>9.7853212356567383</v>
      </c>
    </row>
    <row r="494" spans="2:11">
      <c r="B494" s="18">
        <v>20</v>
      </c>
      <c r="C494" s="19">
        <v>8557218</v>
      </c>
      <c r="D494" s="18">
        <v>8294429.5</v>
      </c>
      <c r="E494" s="18">
        <v>9148025</v>
      </c>
      <c r="F494" s="18">
        <v>11610700</v>
      </c>
      <c r="G494" s="18">
        <v>11438743</v>
      </c>
      <c r="H494" s="18">
        <v>12080102</v>
      </c>
      <c r="I494" s="18">
        <v>13.31362247467041</v>
      </c>
      <c r="J494" s="18">
        <v>12.061721801757813</v>
      </c>
      <c r="K494" s="18">
        <v>10.024389266967773</v>
      </c>
    </row>
    <row r="495" spans="2:11">
      <c r="B495" s="18">
        <v>20</v>
      </c>
      <c r="C495" s="19">
        <v>8724111</v>
      </c>
      <c r="D495" s="18">
        <v>8425704</v>
      </c>
      <c r="E495" s="18">
        <v>8266393.5</v>
      </c>
      <c r="F495" s="18">
        <v>10576875</v>
      </c>
      <c r="G495" s="18">
        <v>11243501</v>
      </c>
      <c r="H495" s="18">
        <v>10619159</v>
      </c>
      <c r="I495" s="18">
        <v>11.381782531738281</v>
      </c>
      <c r="J495" s="18">
        <v>11.150209426879883</v>
      </c>
      <c r="K495" s="18">
        <v>10.141854286193848</v>
      </c>
    </row>
    <row r="496" spans="2:11">
      <c r="B496" s="18">
        <v>20</v>
      </c>
      <c r="C496" s="19">
        <v>8606319</v>
      </c>
      <c r="D496" s="18">
        <v>8827424</v>
      </c>
      <c r="E496" s="18">
        <v>8497452</v>
      </c>
      <c r="F496" s="18">
        <v>10990394</v>
      </c>
      <c r="G496" s="18">
        <v>12229552</v>
      </c>
      <c r="H496" s="18">
        <v>10305319</v>
      </c>
      <c r="I496" s="18">
        <v>11.294005393981934</v>
      </c>
      <c r="J496" s="18">
        <v>12.205229759216309</v>
      </c>
      <c r="K496" s="18">
        <v>11.184067726135254</v>
      </c>
    </row>
    <row r="497" spans="2:11">
      <c r="B497" s="18">
        <v>20</v>
      </c>
      <c r="C497" s="19">
        <v>8726707</v>
      </c>
      <c r="D497" s="18">
        <v>8764645</v>
      </c>
      <c r="E497" s="18">
        <v>8723331</v>
      </c>
      <c r="F497" s="18">
        <v>11283663</v>
      </c>
      <c r="G497" s="18">
        <v>10727715</v>
      </c>
      <c r="H497" s="18">
        <v>10127647</v>
      </c>
      <c r="I497" s="18">
        <v>10.796987533569336</v>
      </c>
      <c r="J497" s="18">
        <v>11.048103332519531</v>
      </c>
      <c r="K497" s="18">
        <v>10.09477424621582</v>
      </c>
    </row>
    <row r="498" spans="2:11">
      <c r="B498" s="18">
        <v>20</v>
      </c>
      <c r="C498" s="19">
        <v>8770103</v>
      </c>
      <c r="D498" s="18">
        <v>9238624</v>
      </c>
      <c r="E498" s="18">
        <v>8559567</v>
      </c>
      <c r="F498" s="18">
        <v>11613704</v>
      </c>
      <c r="G498" s="18">
        <v>11765183</v>
      </c>
      <c r="H498" s="18">
        <v>11480349</v>
      </c>
      <c r="I498" s="18">
        <v>12.054322242736816</v>
      </c>
      <c r="J498" s="18">
        <v>11.730305671691895</v>
      </c>
      <c r="K498" s="18">
        <v>10.183406829833984</v>
      </c>
    </row>
    <row r="499" spans="2:11">
      <c r="B499" s="18">
        <v>20</v>
      </c>
      <c r="C499" s="19">
        <v>8628492</v>
      </c>
      <c r="D499" s="18">
        <v>8987591</v>
      </c>
      <c r="E499" s="18">
        <v>8619434</v>
      </c>
      <c r="F499" s="18">
        <v>11743756</v>
      </c>
      <c r="G499" s="18">
        <v>11537120</v>
      </c>
      <c r="H499" s="18">
        <v>11567700</v>
      </c>
      <c r="I499" s="18">
        <v>11.881376266479492</v>
      </c>
      <c r="J499" s="18">
        <v>10.835702896118164</v>
      </c>
      <c r="K499" s="18">
        <v>10.500131607055664</v>
      </c>
    </row>
    <row r="500" spans="2:11">
      <c r="B500" s="18">
        <v>20</v>
      </c>
      <c r="C500" s="19">
        <v>8066627</v>
      </c>
      <c r="D500" s="18">
        <v>8694444</v>
      </c>
      <c r="E500" s="18">
        <v>8108048</v>
      </c>
      <c r="F500" s="18">
        <v>11279358</v>
      </c>
      <c r="G500" s="18">
        <v>11206401</v>
      </c>
      <c r="H500" s="18">
        <v>11012134</v>
      </c>
      <c r="I500" s="18">
        <v>11.302172660827637</v>
      </c>
      <c r="J500" s="18">
        <v>10.643712043762207</v>
      </c>
      <c r="K500" s="18">
        <v>11.111001014709473</v>
      </c>
    </row>
    <row r="501" spans="2:11">
      <c r="B501" s="18">
        <v>20</v>
      </c>
      <c r="C501" s="19">
        <v>9106952</v>
      </c>
      <c r="D501" s="18">
        <v>9555475</v>
      </c>
      <c r="E501" s="18">
        <v>8523859</v>
      </c>
      <c r="F501" s="18">
        <v>11914039</v>
      </c>
      <c r="G501" s="18">
        <v>10981061</v>
      </c>
      <c r="H501" s="18">
        <v>10810726</v>
      </c>
      <c r="I501" s="18">
        <v>11.820233345031738</v>
      </c>
      <c r="J501" s="18">
        <v>11.87614631652832</v>
      </c>
      <c r="K501" s="18">
        <v>11.429690361022949</v>
      </c>
    </row>
    <row r="502" spans="2:11">
      <c r="B502" s="18">
        <v>20</v>
      </c>
      <c r="C502" s="19">
        <v>9068702</v>
      </c>
      <c r="D502" s="18">
        <v>8890813</v>
      </c>
      <c r="E502" s="18">
        <v>9080480</v>
      </c>
      <c r="F502" s="18">
        <v>11970027</v>
      </c>
      <c r="G502" s="18">
        <v>11588631</v>
      </c>
      <c r="H502" s="18">
        <v>10744095</v>
      </c>
      <c r="I502" s="18">
        <v>12.995405197143555</v>
      </c>
      <c r="J502" s="18">
        <v>12.825312614440918</v>
      </c>
      <c r="K502" s="18">
        <v>11.372463226318359</v>
      </c>
    </row>
    <row r="503" spans="2:11">
      <c r="B503" s="18">
        <v>20</v>
      </c>
      <c r="C503" s="19">
        <v>8559884</v>
      </c>
      <c r="D503" s="18">
        <v>8321521</v>
      </c>
      <c r="E503" s="18">
        <v>8158308.5</v>
      </c>
      <c r="F503" s="18">
        <v>10658655</v>
      </c>
      <c r="G503" s="18">
        <v>10976307</v>
      </c>
      <c r="H503" s="18">
        <v>11321169</v>
      </c>
      <c r="I503" s="18">
        <v>9.8805732727050781</v>
      </c>
      <c r="J503" s="18">
        <v>11.070852279663086</v>
      </c>
      <c r="K503" s="18">
        <v>9.7449626922607422</v>
      </c>
    </row>
    <row r="504" spans="2:11">
      <c r="B504" s="18">
        <v>20</v>
      </c>
      <c r="C504" s="19">
        <v>8328646</v>
      </c>
      <c r="D504" s="18">
        <v>8299222</v>
      </c>
      <c r="E504" s="18">
        <v>8399008</v>
      </c>
      <c r="F504" s="18">
        <v>11210734</v>
      </c>
      <c r="G504" s="18">
        <v>11982342</v>
      </c>
      <c r="H504" s="18">
        <v>10164918</v>
      </c>
      <c r="I504" s="18">
        <v>11.818963050842285</v>
      </c>
      <c r="J504" s="18">
        <v>11.006645202636719</v>
      </c>
      <c r="K504" s="18">
        <v>10.236628532409668</v>
      </c>
    </row>
    <row r="505" spans="2:11">
      <c r="B505" s="18">
        <v>20</v>
      </c>
      <c r="C505" s="19">
        <v>9072679</v>
      </c>
      <c r="D505" s="18">
        <v>8839940</v>
      </c>
      <c r="E505" s="18">
        <v>9120767</v>
      </c>
      <c r="F505" s="18">
        <v>11203428</v>
      </c>
      <c r="G505" s="18">
        <v>11032812</v>
      </c>
      <c r="H505" s="18">
        <v>10184442</v>
      </c>
      <c r="I505" s="18">
        <v>10.438029289245605</v>
      </c>
      <c r="J505" s="18">
        <v>11.142857551574707</v>
      </c>
      <c r="K505" s="18">
        <v>10.122665405273438</v>
      </c>
    </row>
    <row r="506" spans="2:11">
      <c r="B506" s="18">
        <v>20</v>
      </c>
      <c r="C506" s="19">
        <v>8469768</v>
      </c>
      <c r="D506" s="18">
        <v>8169952.5</v>
      </c>
      <c r="E506" s="18">
        <v>8161856.5</v>
      </c>
      <c r="F506" s="18">
        <v>10467824</v>
      </c>
      <c r="G506" s="18">
        <v>11746728</v>
      </c>
      <c r="H506" s="18">
        <v>9542271</v>
      </c>
      <c r="I506" s="18">
        <v>12.207528114318848</v>
      </c>
      <c r="J506" s="18">
        <v>12.794351577758789</v>
      </c>
      <c r="K506" s="18">
        <v>10.237109184265137</v>
      </c>
    </row>
    <row r="507" spans="2:11">
      <c r="B507" s="18">
        <v>20</v>
      </c>
      <c r="C507" s="19">
        <v>8600117</v>
      </c>
      <c r="D507" s="18">
        <v>8924415</v>
      </c>
      <c r="E507" s="18">
        <v>8787461</v>
      </c>
      <c r="F507" s="18">
        <v>10871988</v>
      </c>
      <c r="G507" s="18">
        <v>11430508</v>
      </c>
      <c r="H507" s="18">
        <v>11161001</v>
      </c>
      <c r="I507" s="18">
        <v>10.132711410522461</v>
      </c>
      <c r="J507" s="18">
        <v>10.738313674926758</v>
      </c>
      <c r="K507" s="18">
        <v>10.535993576049805</v>
      </c>
    </row>
    <row r="508" spans="2:11">
      <c r="B508" s="18">
        <v>20</v>
      </c>
      <c r="C508" s="19">
        <v>8751545</v>
      </c>
      <c r="D508" s="18">
        <v>8842677</v>
      </c>
      <c r="E508" s="18">
        <v>8471438</v>
      </c>
      <c r="F508" s="18">
        <v>10852835</v>
      </c>
      <c r="G508" s="18">
        <v>11066451</v>
      </c>
      <c r="H508" s="18">
        <v>10444930</v>
      </c>
      <c r="I508" s="18">
        <v>13.686276435852051</v>
      </c>
      <c r="J508" s="18">
        <v>12.832168579101563</v>
      </c>
      <c r="K508" s="18">
        <v>12.664717674255371</v>
      </c>
    </row>
    <row r="509" spans="2:11">
      <c r="B509" s="18">
        <v>20</v>
      </c>
      <c r="C509" s="19">
        <v>8743942</v>
      </c>
      <c r="D509" s="18">
        <v>9092249</v>
      </c>
      <c r="E509" s="18">
        <v>8319484.5</v>
      </c>
      <c r="F509" s="18">
        <v>10127663</v>
      </c>
      <c r="G509" s="18">
        <v>10767529</v>
      </c>
      <c r="H509" s="18">
        <v>9995593</v>
      </c>
      <c r="I509" s="18">
        <v>10.62879753112793</v>
      </c>
      <c r="J509" s="18">
        <v>11.020030975341797</v>
      </c>
      <c r="K509" s="18">
        <v>9.7689065933227539</v>
      </c>
    </row>
    <row r="510" spans="2:11">
      <c r="B510" s="18">
        <v>20</v>
      </c>
      <c r="C510" s="19">
        <v>8885915</v>
      </c>
      <c r="D510" s="18">
        <v>8854053</v>
      </c>
      <c r="E510" s="18">
        <v>8923546</v>
      </c>
      <c r="F510" s="18">
        <v>11198430</v>
      </c>
      <c r="G510" s="18">
        <v>11105984</v>
      </c>
      <c r="H510" s="18">
        <v>10821230</v>
      </c>
      <c r="I510" s="18">
        <v>10.063325881958008</v>
      </c>
      <c r="J510" s="18">
        <v>10.783828735351563</v>
      </c>
      <c r="K510" s="18">
        <v>10.144691467285156</v>
      </c>
    </row>
    <row r="511" spans="2:11">
      <c r="B511" s="18">
        <v>20</v>
      </c>
      <c r="C511" s="19">
        <v>8369861</v>
      </c>
      <c r="D511" s="18">
        <v>8633792</v>
      </c>
      <c r="E511" s="18">
        <v>8455052</v>
      </c>
      <c r="F511" s="18">
        <v>11591328</v>
      </c>
      <c r="G511" s="18">
        <v>11759427</v>
      </c>
      <c r="H511" s="18">
        <v>11160304</v>
      </c>
      <c r="I511" s="18">
        <v>10.916852951049805</v>
      </c>
      <c r="J511" s="18">
        <v>11.631763458251953</v>
      </c>
      <c r="K511" s="18">
        <v>10.68977165222168</v>
      </c>
    </row>
    <row r="512" spans="2:11">
      <c r="B512" s="18">
        <v>20</v>
      </c>
      <c r="C512" s="19">
        <v>8274370.5</v>
      </c>
      <c r="D512" s="18">
        <v>7887853.5</v>
      </c>
      <c r="E512" s="18">
        <v>7544453.5</v>
      </c>
      <c r="F512" s="18">
        <v>10142263</v>
      </c>
      <c r="G512" s="18">
        <v>11252272</v>
      </c>
      <c r="H512" s="18">
        <v>9343630</v>
      </c>
      <c r="I512" s="18">
        <v>9.1747064590454102</v>
      </c>
      <c r="J512" s="18">
        <v>10.279210090637207</v>
      </c>
      <c r="K512" s="18">
        <v>9.3301897048950195</v>
      </c>
    </row>
    <row r="513" spans="2:11">
      <c r="B513" s="18">
        <v>20</v>
      </c>
      <c r="C513" s="19">
        <v>8382876</v>
      </c>
      <c r="D513" s="18">
        <v>7780790</v>
      </c>
      <c r="E513" s="18">
        <v>7927720</v>
      </c>
      <c r="F513" s="18">
        <v>11056433</v>
      </c>
      <c r="G513" s="18">
        <v>11265599</v>
      </c>
      <c r="H513" s="18">
        <v>10823207</v>
      </c>
      <c r="I513" s="18">
        <v>10.395659446716309</v>
      </c>
      <c r="J513" s="18">
        <v>9.2090053558349609</v>
      </c>
      <c r="K513" s="18">
        <v>8.5997734069824219</v>
      </c>
    </row>
    <row r="514" spans="2:11">
      <c r="B514" s="18">
        <v>20</v>
      </c>
      <c r="C514" s="19">
        <v>7746662</v>
      </c>
      <c r="D514" s="18">
        <v>7760444</v>
      </c>
      <c r="E514" s="18">
        <v>7856919</v>
      </c>
      <c r="F514" s="18">
        <v>10858516</v>
      </c>
      <c r="G514" s="18">
        <v>11498442</v>
      </c>
      <c r="H514" s="18">
        <v>10221387</v>
      </c>
      <c r="I514" s="18">
        <v>10.106393814086914</v>
      </c>
      <c r="J514" s="18">
        <v>10.788516998291016</v>
      </c>
      <c r="K514" s="18">
        <v>9.2351474761962891</v>
      </c>
    </row>
    <row r="515" spans="2:11">
      <c r="B515" s="18">
        <v>20</v>
      </c>
      <c r="C515" s="19">
        <v>8420402</v>
      </c>
      <c r="D515" s="18">
        <v>8006508</v>
      </c>
      <c r="E515" s="18">
        <v>7985502.5</v>
      </c>
      <c r="F515" s="18">
        <v>10533722</v>
      </c>
      <c r="G515" s="18">
        <v>11724330</v>
      </c>
      <c r="H515" s="18">
        <v>9176394</v>
      </c>
      <c r="I515" s="18">
        <v>9.0259199142456055</v>
      </c>
      <c r="J515" s="18">
        <v>9.5740175247192383</v>
      </c>
      <c r="K515" s="18">
        <v>8.0511398315429688</v>
      </c>
    </row>
    <row r="516" spans="2:11">
      <c r="B516" s="18">
        <v>20</v>
      </c>
      <c r="C516" s="19">
        <v>8120684</v>
      </c>
      <c r="D516" s="18">
        <v>8265871</v>
      </c>
      <c r="E516" s="18">
        <v>7834697.5</v>
      </c>
      <c r="F516" s="18">
        <v>10385725</v>
      </c>
      <c r="G516" s="18">
        <v>10916842</v>
      </c>
      <c r="H516" s="18">
        <v>10015380</v>
      </c>
      <c r="I516" s="18">
        <v>10.320488929748535</v>
      </c>
      <c r="J516" s="18">
        <v>10.747846603393555</v>
      </c>
      <c r="K516" s="18">
        <v>10.549372673034668</v>
      </c>
    </row>
    <row r="517" spans="2:11">
      <c r="B517" s="18">
        <v>20</v>
      </c>
      <c r="C517" s="19">
        <v>7684212</v>
      </c>
      <c r="D517" s="18">
        <v>7649944.5</v>
      </c>
      <c r="E517" s="18">
        <v>7682544</v>
      </c>
      <c r="F517" s="18">
        <v>10496301</v>
      </c>
      <c r="G517" s="18">
        <v>11254120</v>
      </c>
      <c r="H517" s="18">
        <v>10385217</v>
      </c>
      <c r="I517" s="18">
        <v>9.6508083343505859</v>
      </c>
      <c r="J517" s="18">
        <v>9.718693733215332</v>
      </c>
      <c r="K517" s="18">
        <v>9.2974386215209961</v>
      </c>
    </row>
    <row r="518" spans="2:11">
      <c r="B518" s="18">
        <v>20</v>
      </c>
      <c r="C518" s="19">
        <v>8905372</v>
      </c>
      <c r="D518" s="18">
        <v>8185749</v>
      </c>
      <c r="E518" s="18">
        <v>8489312</v>
      </c>
      <c r="F518" s="18">
        <v>10645036</v>
      </c>
      <c r="G518" s="18">
        <v>11040435</v>
      </c>
      <c r="H518" s="18">
        <v>9213948</v>
      </c>
      <c r="I518" s="18">
        <v>9.8605279922485352</v>
      </c>
      <c r="J518" s="18">
        <v>10.403360366821289</v>
      </c>
      <c r="K518" s="18">
        <v>8.080510139465332</v>
      </c>
    </row>
    <row r="519" spans="2:11">
      <c r="B519" s="18">
        <v>20</v>
      </c>
      <c r="C519" s="19">
        <v>8055468.5</v>
      </c>
      <c r="D519" s="18">
        <v>7753707.5</v>
      </c>
      <c r="E519" s="18">
        <v>7655307</v>
      </c>
      <c r="F519" s="18">
        <v>10438284</v>
      </c>
      <c r="G519" s="18">
        <v>11670454</v>
      </c>
      <c r="H519" s="18">
        <v>10431620</v>
      </c>
      <c r="I519" s="18">
        <v>9.7121772766113281</v>
      </c>
      <c r="J519" s="18">
        <v>11.287103652954102</v>
      </c>
      <c r="K519" s="18">
        <v>10.581277847290039</v>
      </c>
    </row>
    <row r="520" spans="2:11">
      <c r="B520" s="18">
        <v>20</v>
      </c>
      <c r="C520" s="19">
        <v>7605485</v>
      </c>
      <c r="D520" s="18">
        <v>8383605</v>
      </c>
      <c r="E520" s="18">
        <v>7533478</v>
      </c>
      <c r="F520" s="18">
        <v>10814399</v>
      </c>
      <c r="G520" s="18">
        <v>11609155</v>
      </c>
      <c r="H520" s="18">
        <v>10498728</v>
      </c>
      <c r="I520" s="18">
        <v>11.026676177978516</v>
      </c>
      <c r="J520" s="18">
        <v>11.66466236114502</v>
      </c>
      <c r="K520" s="18">
        <v>10.434988021850586</v>
      </c>
    </row>
    <row r="521" spans="2:11">
      <c r="B521" s="18">
        <v>20</v>
      </c>
      <c r="C521" s="19">
        <v>7823569</v>
      </c>
      <c r="D521" s="18">
        <v>7782761</v>
      </c>
      <c r="E521" s="18">
        <v>7560427.5</v>
      </c>
      <c r="F521" s="18">
        <v>10619483</v>
      </c>
      <c r="G521" s="18">
        <v>10038835</v>
      </c>
      <c r="H521" s="18">
        <v>10705538</v>
      </c>
      <c r="I521" s="18">
        <v>9.8884897232055664</v>
      </c>
      <c r="J521" s="18">
        <v>9.7107925415039063</v>
      </c>
      <c r="K521" s="18">
        <v>9.7616548538208008</v>
      </c>
    </row>
    <row r="522" spans="2:11">
      <c r="B522" s="18">
        <v>20</v>
      </c>
      <c r="C522" s="19">
        <v>8295327</v>
      </c>
      <c r="D522" s="18">
        <v>8824608</v>
      </c>
      <c r="E522" s="18">
        <v>8303141</v>
      </c>
      <c r="F522" s="18">
        <v>10673810</v>
      </c>
      <c r="G522" s="18">
        <v>11605086</v>
      </c>
      <c r="H522" s="18">
        <v>9978887</v>
      </c>
      <c r="I522" s="18">
        <v>11.063942909240723</v>
      </c>
      <c r="J522" s="18">
        <v>11.248252868652344</v>
      </c>
      <c r="K522" s="18">
        <v>9.6024808883666992</v>
      </c>
    </row>
    <row r="523" spans="2:11">
      <c r="B523" s="18">
        <v>20</v>
      </c>
      <c r="C523" s="19">
        <v>7548198.5</v>
      </c>
      <c r="D523" s="18">
        <v>7886067.5</v>
      </c>
      <c r="E523" s="18">
        <v>7615758</v>
      </c>
      <c r="F523" s="18">
        <v>10803598</v>
      </c>
      <c r="G523" s="18">
        <v>10859380</v>
      </c>
      <c r="H523" s="18">
        <v>9722413</v>
      </c>
      <c r="I523" s="18">
        <v>10.570243835449219</v>
      </c>
      <c r="J523" s="18">
        <v>10.678064346313477</v>
      </c>
      <c r="K523" s="18">
        <v>9.1680154800415039</v>
      </c>
    </row>
    <row r="524" spans="2:11">
      <c r="B524" s="18">
        <v>20</v>
      </c>
      <c r="C524" s="19">
        <v>7166807.5</v>
      </c>
      <c r="D524" s="18">
        <v>7467620.5</v>
      </c>
      <c r="E524" s="18">
        <v>7576430</v>
      </c>
      <c r="F524" s="18">
        <v>10095924</v>
      </c>
      <c r="G524" s="18">
        <v>10586116</v>
      </c>
      <c r="H524" s="18">
        <v>10006793</v>
      </c>
      <c r="I524" s="18">
        <v>9.6290607452392578</v>
      </c>
      <c r="J524" s="18">
        <v>9.4163188934326172</v>
      </c>
      <c r="K524" s="18">
        <v>8.9383306503295898</v>
      </c>
    </row>
    <row r="525" spans="2:11">
      <c r="B525" s="18">
        <v>20</v>
      </c>
      <c r="C525" s="19">
        <v>8263794.5</v>
      </c>
      <c r="D525" s="18">
        <v>9182326</v>
      </c>
      <c r="E525" s="18">
        <v>8405157</v>
      </c>
      <c r="F525" s="18">
        <v>10434200</v>
      </c>
      <c r="G525" s="18">
        <v>11346483</v>
      </c>
      <c r="H525" s="18">
        <v>9916835</v>
      </c>
      <c r="I525" s="18">
        <v>9.6597623825073242</v>
      </c>
      <c r="J525" s="18">
        <v>10.848018646240234</v>
      </c>
      <c r="K525" s="18">
        <v>9.9005336761474609</v>
      </c>
    </row>
    <row r="526" spans="2:11">
      <c r="B526" s="18">
        <v>20</v>
      </c>
      <c r="C526" s="19">
        <v>8178394.5</v>
      </c>
      <c r="D526" s="18">
        <v>8200874</v>
      </c>
      <c r="E526" s="18">
        <v>7609108.5</v>
      </c>
      <c r="F526" s="18">
        <v>10228773</v>
      </c>
      <c r="G526" s="18">
        <v>10530054</v>
      </c>
      <c r="H526" s="18">
        <v>9621157</v>
      </c>
      <c r="I526" s="18">
        <v>10.076437950134277</v>
      </c>
      <c r="J526" s="18">
        <v>11.079747200012207</v>
      </c>
      <c r="K526" s="18">
        <v>8.098261833190918</v>
      </c>
    </row>
    <row r="527" spans="2:11">
      <c r="B527" s="18">
        <v>20</v>
      </c>
      <c r="C527" s="19">
        <v>8155929.5</v>
      </c>
      <c r="D527" s="18">
        <v>8285238.5</v>
      </c>
      <c r="E527" s="18">
        <v>7438021</v>
      </c>
      <c r="F527" s="18">
        <v>10727934</v>
      </c>
      <c r="G527" s="18">
        <v>11607431</v>
      </c>
      <c r="H527" s="18">
        <v>11405791</v>
      </c>
      <c r="I527" s="18">
        <v>11.21490478515625</v>
      </c>
      <c r="J527" s="18">
        <v>12.124018669128418</v>
      </c>
      <c r="K527" s="18">
        <v>11.566184043884277</v>
      </c>
    </row>
    <row r="528" spans="2:11">
      <c r="B528" s="18">
        <v>20</v>
      </c>
      <c r="C528" s="19">
        <v>8060160.5</v>
      </c>
      <c r="D528" s="18">
        <v>8528562</v>
      </c>
      <c r="E528" s="18">
        <v>7737304.5</v>
      </c>
      <c r="F528" s="18">
        <v>10811704</v>
      </c>
      <c r="G528" s="18">
        <v>11389672</v>
      </c>
      <c r="H528" s="18">
        <v>10414198</v>
      </c>
      <c r="I528" s="18">
        <v>11.709550857543945</v>
      </c>
      <c r="J528" s="18">
        <v>12.750140190124512</v>
      </c>
      <c r="K528" s="18">
        <v>10.580180168151855</v>
      </c>
    </row>
    <row r="529" spans="2:11">
      <c r="B529" s="18">
        <v>20</v>
      </c>
      <c r="C529" s="19">
        <v>8653107</v>
      </c>
      <c r="D529" s="18">
        <v>8102800.5</v>
      </c>
      <c r="E529" s="18">
        <v>8050972</v>
      </c>
      <c r="F529" s="18">
        <v>10172969</v>
      </c>
      <c r="G529" s="18">
        <v>11298531</v>
      </c>
      <c r="H529" s="18">
        <v>10678603</v>
      </c>
      <c r="I529" s="18">
        <v>9.7489662170410156</v>
      </c>
      <c r="J529" s="18">
        <v>10.545735359191895</v>
      </c>
      <c r="K529" s="18">
        <v>9.8699541091918945</v>
      </c>
    </row>
    <row r="530" spans="2:11">
      <c r="B530" s="18">
        <v>20</v>
      </c>
      <c r="C530" s="19">
        <v>7519796.5</v>
      </c>
      <c r="D530" s="18">
        <v>7947085.5</v>
      </c>
      <c r="E530" s="18">
        <v>7730079</v>
      </c>
      <c r="F530" s="18">
        <v>10094681</v>
      </c>
      <c r="G530" s="18">
        <v>10598055</v>
      </c>
      <c r="H530" s="18">
        <v>10472189</v>
      </c>
      <c r="I530" s="18">
        <v>10.586276054382324</v>
      </c>
      <c r="J530" s="18">
        <v>9.8013467788696289</v>
      </c>
      <c r="K530" s="18">
        <v>10.026487350463867</v>
      </c>
    </row>
    <row r="531" spans="2:11">
      <c r="B531" s="18">
        <v>20</v>
      </c>
      <c r="C531" s="19">
        <v>8492319</v>
      </c>
      <c r="D531" s="18">
        <v>8011260.5</v>
      </c>
      <c r="E531" s="18">
        <v>7648883.5</v>
      </c>
      <c r="F531" s="18">
        <v>11001917</v>
      </c>
      <c r="G531" s="18">
        <v>11373201</v>
      </c>
      <c r="H531" s="18">
        <v>11192106</v>
      </c>
      <c r="I531" s="18">
        <v>10.896995544433594</v>
      </c>
      <c r="J531" s="18">
        <v>12.389643669128418</v>
      </c>
      <c r="K531" s="18">
        <v>10.760382652282715</v>
      </c>
    </row>
    <row r="532" spans="2:11">
      <c r="B532" s="18">
        <v>20</v>
      </c>
      <c r="C532" s="19">
        <v>8557207</v>
      </c>
      <c r="D532" s="18">
        <v>7973927.5</v>
      </c>
      <c r="E532" s="18">
        <v>8053890</v>
      </c>
      <c r="F532" s="18">
        <v>10334604</v>
      </c>
      <c r="G532" s="18">
        <v>11096716</v>
      </c>
      <c r="H532" s="18">
        <v>10120710</v>
      </c>
      <c r="I532" s="18">
        <v>9.5030546188354492</v>
      </c>
      <c r="J532" s="18">
        <v>10.273948669433594</v>
      </c>
      <c r="K532" s="18">
        <v>9.6051216125488281</v>
      </c>
    </row>
    <row r="533" spans="2:11">
      <c r="B533" s="18">
        <v>20</v>
      </c>
      <c r="C533" s="19">
        <v>8790159</v>
      </c>
      <c r="D533" s="18">
        <v>8550044</v>
      </c>
      <c r="E533" s="18">
        <v>8582835</v>
      </c>
      <c r="F533" s="18">
        <v>11170839</v>
      </c>
      <c r="G533" s="18">
        <v>11969858</v>
      </c>
      <c r="H533" s="18">
        <v>10423676</v>
      </c>
      <c r="I533" s="18">
        <v>8.6594676971435547</v>
      </c>
      <c r="J533" s="18">
        <v>10.321870803833008</v>
      </c>
      <c r="K533" s="18">
        <v>9.0578908920288086</v>
      </c>
    </row>
    <row r="534" spans="2:11">
      <c r="B534" s="18">
        <v>20</v>
      </c>
      <c r="C534" s="19">
        <v>7980783</v>
      </c>
      <c r="D534" s="18">
        <v>7682186.5</v>
      </c>
      <c r="E534" s="18">
        <v>7852210</v>
      </c>
      <c r="F534" s="18">
        <v>10835620</v>
      </c>
      <c r="G534" s="18">
        <v>11266500</v>
      </c>
      <c r="H534" s="18">
        <v>10045014</v>
      </c>
      <c r="I534" s="18">
        <v>10.980712890625</v>
      </c>
      <c r="J534" s="18">
        <v>11.383501052856445</v>
      </c>
      <c r="K534" s="18">
        <v>10.61142635345459</v>
      </c>
    </row>
    <row r="535" spans="2:11">
      <c r="B535" s="18">
        <v>20</v>
      </c>
      <c r="C535" s="19">
        <v>7937661</v>
      </c>
      <c r="D535" s="18">
        <v>8395664</v>
      </c>
      <c r="E535" s="18">
        <v>8139945.5</v>
      </c>
      <c r="F535" s="18">
        <v>10795629</v>
      </c>
      <c r="G535" s="18">
        <v>11092861</v>
      </c>
      <c r="H535" s="18">
        <v>10796414</v>
      </c>
      <c r="I535" s="18">
        <v>10.371017456054688</v>
      </c>
      <c r="J535" s="18">
        <v>9.6540975570678711</v>
      </c>
      <c r="K535" s="18">
        <v>9.3309326171875</v>
      </c>
    </row>
    <row r="536" spans="2:11">
      <c r="B536" s="18">
        <v>20</v>
      </c>
      <c r="C536" s="19">
        <v>7940810</v>
      </c>
      <c r="D536" s="18">
        <v>7940386.5</v>
      </c>
      <c r="E536" s="18">
        <v>7459246.5</v>
      </c>
      <c r="F536" s="18">
        <v>10999705</v>
      </c>
      <c r="G536" s="18">
        <v>10686230</v>
      </c>
      <c r="H536" s="18">
        <v>10777484</v>
      </c>
      <c r="I536" s="18">
        <v>10.108407974243164</v>
      </c>
      <c r="J536" s="18">
        <v>11.291441917419434</v>
      </c>
      <c r="K536" s="18">
        <v>9.8240041732788086</v>
      </c>
    </row>
    <row r="537" spans="2:11">
      <c r="B537" s="18">
        <v>20</v>
      </c>
      <c r="C537" s="19">
        <v>7919513</v>
      </c>
      <c r="D537" s="18">
        <v>8217518</v>
      </c>
      <c r="E537" s="18">
        <v>8074027</v>
      </c>
      <c r="F537" s="18">
        <v>11425584</v>
      </c>
      <c r="G537" s="18">
        <v>10827848</v>
      </c>
      <c r="H537" s="18">
        <v>10904953</v>
      </c>
      <c r="I537" s="18">
        <v>10.353468894958496</v>
      </c>
      <c r="J537" s="18">
        <v>10.480860710144043</v>
      </c>
      <c r="K537" s="18">
        <v>9.1831836700439453</v>
      </c>
    </row>
    <row r="538" spans="2:11">
      <c r="B538" s="18">
        <v>20</v>
      </c>
      <c r="C538" s="19">
        <v>7990072</v>
      </c>
      <c r="D538" s="18">
        <v>7912018</v>
      </c>
      <c r="E538" s="18">
        <v>7636566.5</v>
      </c>
      <c r="F538" s="18">
        <v>9625394</v>
      </c>
      <c r="G538" s="18">
        <v>10167035</v>
      </c>
      <c r="H538" s="18">
        <v>10130101</v>
      </c>
      <c r="I538" s="18">
        <v>10.303957939147949</v>
      </c>
      <c r="J538" s="18">
        <v>10.509722709655762</v>
      </c>
      <c r="K538" s="18">
        <v>10.299665451049805</v>
      </c>
    </row>
    <row r="539" spans="2:11">
      <c r="B539" s="18">
        <v>20</v>
      </c>
      <c r="C539" s="19">
        <v>8590498</v>
      </c>
      <c r="D539" s="18">
        <v>8253461.5</v>
      </c>
      <c r="E539" s="18">
        <v>7853562</v>
      </c>
      <c r="F539" s="18">
        <v>10615457</v>
      </c>
      <c r="G539" s="18">
        <v>11106304</v>
      </c>
      <c r="H539" s="18">
        <v>11165756</v>
      </c>
      <c r="I539" s="18">
        <v>9.3600091934204102</v>
      </c>
      <c r="J539" s="18">
        <v>10.017726898193359</v>
      </c>
      <c r="K539" s="18">
        <v>10.481490135192871</v>
      </c>
    </row>
    <row r="540" spans="2:11">
      <c r="B540" s="18">
        <v>20</v>
      </c>
      <c r="C540" s="19">
        <v>8079273.5</v>
      </c>
      <c r="D540" s="18">
        <v>7962723.5</v>
      </c>
      <c r="E540" s="18">
        <v>7879541</v>
      </c>
      <c r="F540" s="18">
        <v>10960567</v>
      </c>
      <c r="G540" s="18">
        <v>10842959</v>
      </c>
      <c r="H540" s="18">
        <v>10818769</v>
      </c>
      <c r="I540" s="18">
        <v>11.248635292053223</v>
      </c>
      <c r="J540" s="18">
        <v>10.767027854919434</v>
      </c>
      <c r="K540" s="18">
        <v>8.9953927993774414</v>
      </c>
    </row>
    <row r="541" spans="2:11">
      <c r="B541" s="18">
        <v>20</v>
      </c>
      <c r="C541" s="19">
        <v>8170259.5</v>
      </c>
      <c r="D541" s="18">
        <v>8075297.5</v>
      </c>
      <c r="E541" s="18">
        <v>7619153</v>
      </c>
      <c r="F541" s="18">
        <v>10819835</v>
      </c>
      <c r="G541" s="18">
        <v>11803215</v>
      </c>
      <c r="H541" s="18">
        <v>10369301</v>
      </c>
      <c r="I541" s="18">
        <v>10.453702926635742</v>
      </c>
      <c r="J541" s="18">
        <v>10.323909759521484</v>
      </c>
      <c r="K541" s="18">
        <v>9.5785150527954102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57150</xdr:rowOff>
              </from>
              <to>
                <xdr:col>1</xdr:col>
                <xdr:colOff>57150</xdr:colOff>
                <xdr:row>0</xdr:row>
                <xdr:rowOff>428625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545"/>
  <sheetViews>
    <sheetView zoomScaleNormal="100" workbookViewId="0">
      <selection activeCell="O16" sqref="O16:AE1048576"/>
    </sheetView>
  </sheetViews>
  <sheetFormatPr defaultColWidth="9" defaultRowHeight="12.75"/>
  <cols>
    <col min="1" max="1" width="3.85546875" style="47" customWidth="1"/>
    <col min="2" max="2" width="6.85546875" style="47" customWidth="1"/>
    <col min="3" max="3" width="10.42578125" style="47" customWidth="1"/>
    <col min="4" max="4" width="9.42578125" style="47" customWidth="1"/>
    <col min="5" max="5" width="8.42578125" style="47" customWidth="1"/>
    <col min="6" max="6" width="3.85546875" style="47" customWidth="1"/>
    <col min="7" max="7" width="5.42578125" style="47" customWidth="1"/>
    <col min="8" max="8" width="8.7109375" style="47" customWidth="1"/>
    <col min="9" max="9" width="5.85546875" style="47" customWidth="1"/>
    <col min="10" max="10" width="8.7109375" style="47" customWidth="1"/>
    <col min="11" max="11" width="5" style="47" customWidth="1"/>
    <col min="12" max="12" width="9.5703125" style="47" customWidth="1"/>
    <col min="13" max="13" width="4.5703125" style="47" customWidth="1"/>
    <col min="14" max="14" width="5" style="47" customWidth="1"/>
    <col min="15" max="16" width="9.140625" style="47" customWidth="1"/>
    <col min="17" max="17" width="9.7109375" style="47" customWidth="1"/>
    <col min="18" max="18" width="12" style="47" customWidth="1"/>
    <col min="19" max="19" width="12.28515625" style="47" customWidth="1"/>
    <col min="20" max="21" width="9.140625" style="47" customWidth="1"/>
    <col min="22" max="22" width="7.42578125" style="47" customWidth="1"/>
    <col min="23" max="23" width="8.5703125" style="47" customWidth="1"/>
    <col min="24" max="24" width="9.140625" style="47" customWidth="1"/>
    <col min="25" max="25" width="7.28515625" style="47" customWidth="1"/>
    <col min="26" max="26" width="9" style="47" customWidth="1"/>
    <col min="27" max="27" width="7" style="47" customWidth="1"/>
    <col min="28" max="28" width="7.7109375" style="47" customWidth="1"/>
    <col min="29" max="29" width="7.85546875" style="47" customWidth="1"/>
    <col min="30" max="32" width="9" style="47"/>
    <col min="33" max="33" width="6.7109375" style="47" customWidth="1"/>
    <col min="34" max="34" width="6" style="47" customWidth="1"/>
    <col min="35" max="35" width="5.42578125" style="47" customWidth="1"/>
    <col min="36" max="36" width="6.42578125" style="47" customWidth="1"/>
    <col min="37" max="37" width="7.42578125" style="47" customWidth="1"/>
    <col min="38" max="16384" width="9" style="47"/>
  </cols>
  <sheetData>
    <row r="1" spans="1:42">
      <c r="A1" s="46"/>
      <c r="B1" s="46"/>
      <c r="C1" s="46"/>
      <c r="D1" s="46"/>
      <c r="E1" s="46"/>
      <c r="F1" s="46"/>
      <c r="G1" s="46"/>
      <c r="H1" s="46"/>
      <c r="I1" s="46"/>
      <c r="J1" s="46"/>
    </row>
    <row r="2" spans="1:42" ht="30.6" customHeight="1">
      <c r="A2" s="46"/>
      <c r="B2" s="58"/>
      <c r="C2" s="58"/>
      <c r="D2" s="58"/>
      <c r="E2" s="59"/>
      <c r="F2" s="48"/>
      <c r="G2" s="48"/>
      <c r="H2" s="48"/>
      <c r="I2" s="48"/>
      <c r="J2" s="48"/>
      <c r="O2" s="166" t="s">
        <v>115</v>
      </c>
      <c r="P2" s="166"/>
      <c r="Q2" s="166"/>
      <c r="R2" s="166"/>
      <c r="S2" s="166"/>
      <c r="T2" s="166"/>
      <c r="U2" s="119"/>
    </row>
    <row r="3" spans="1:42" ht="15" customHeight="1">
      <c r="A3" s="48"/>
      <c r="B3" s="64">
        <v>1</v>
      </c>
      <c r="C3" s="64">
        <v>2</v>
      </c>
      <c r="D3" s="64">
        <v>3</v>
      </c>
      <c r="E3" s="65">
        <v>4</v>
      </c>
      <c r="F3" s="64"/>
      <c r="G3" s="64">
        <v>1</v>
      </c>
      <c r="H3" s="64">
        <v>2</v>
      </c>
      <c r="I3" s="64">
        <v>3</v>
      </c>
      <c r="J3" s="64">
        <v>4</v>
      </c>
      <c r="K3" s="66">
        <v>5</v>
      </c>
      <c r="L3" s="66">
        <v>6</v>
      </c>
      <c r="M3" s="66">
        <v>7</v>
      </c>
      <c r="O3" s="47" t="s">
        <v>78</v>
      </c>
      <c r="V3" s="47" t="s">
        <v>77</v>
      </c>
      <c r="Z3" s="54"/>
      <c r="AA3" s="54"/>
      <c r="AB3" s="54"/>
      <c r="AC3" s="54"/>
      <c r="AD3" s="54"/>
      <c r="AE3" s="54"/>
      <c r="AF3" s="54"/>
      <c r="AG3" s="172" t="s">
        <v>15</v>
      </c>
      <c r="AH3" s="172"/>
      <c r="AI3" s="172"/>
      <c r="AJ3" s="172"/>
      <c r="AK3" s="172"/>
    </row>
    <row r="4" spans="1:42" ht="14.25" customHeight="1">
      <c r="A4" s="49"/>
      <c r="B4" s="164" t="s">
        <v>23</v>
      </c>
      <c r="C4" s="164"/>
      <c r="D4" s="164"/>
      <c r="E4" s="164"/>
      <c r="F4" s="56"/>
      <c r="G4" s="164" t="s">
        <v>66</v>
      </c>
      <c r="H4" s="164"/>
      <c r="I4" s="164"/>
      <c r="J4" s="164"/>
      <c r="K4" s="164"/>
      <c r="L4" s="164"/>
      <c r="M4" s="164"/>
      <c r="O4" s="165" t="s">
        <v>39</v>
      </c>
      <c r="P4" s="165"/>
      <c r="Q4" s="165"/>
      <c r="R4" s="165"/>
      <c r="S4" s="165"/>
      <c r="T4" s="165"/>
      <c r="U4" s="120"/>
      <c r="V4" s="123">
        <v>1</v>
      </c>
      <c r="W4" s="123">
        <v>2</v>
      </c>
      <c r="X4" s="123">
        <v>3</v>
      </c>
      <c r="Y4" s="123">
        <v>4</v>
      </c>
      <c r="Z4" s="123">
        <v>5</v>
      </c>
      <c r="AA4" s="123">
        <v>6</v>
      </c>
      <c r="AB4" s="123">
        <v>7</v>
      </c>
      <c r="AC4" s="123">
        <v>8</v>
      </c>
      <c r="AD4" s="123">
        <v>9</v>
      </c>
      <c r="AE4" s="123">
        <v>10</v>
      </c>
      <c r="AF4" s="62"/>
      <c r="AG4" s="173"/>
      <c r="AH4" s="173"/>
      <c r="AI4" s="173"/>
      <c r="AJ4" s="173"/>
      <c r="AK4" s="173"/>
      <c r="AM4" s="169" t="s">
        <v>20</v>
      </c>
      <c r="AN4" s="170"/>
      <c r="AO4" s="170"/>
      <c r="AP4" s="171"/>
    </row>
    <row r="5" spans="1:42" ht="15.75" customHeight="1">
      <c r="A5" s="49"/>
      <c r="B5" s="48" t="s">
        <v>3</v>
      </c>
      <c r="C5" s="48" t="s">
        <v>67</v>
      </c>
      <c r="D5" s="48" t="s">
        <v>68</v>
      </c>
      <c r="E5" s="48" t="s">
        <v>1</v>
      </c>
      <c r="F5" s="48"/>
      <c r="G5" s="48" t="s">
        <v>2</v>
      </c>
      <c r="H5" s="48" t="s">
        <v>67</v>
      </c>
      <c r="I5" s="48" t="s">
        <v>4</v>
      </c>
      <c r="J5" s="48" t="s">
        <v>69</v>
      </c>
      <c r="K5" s="48" t="s">
        <v>4</v>
      </c>
      <c r="L5" s="48" t="s">
        <v>1</v>
      </c>
      <c r="M5" s="48" t="s">
        <v>4</v>
      </c>
      <c r="W5" s="167" t="s">
        <v>73</v>
      </c>
      <c r="X5" s="167"/>
      <c r="Y5" s="167"/>
      <c r="Z5" s="167" t="s">
        <v>74</v>
      </c>
      <c r="AA5" s="167"/>
      <c r="AB5" s="167"/>
      <c r="AC5" s="168" t="s">
        <v>75</v>
      </c>
      <c r="AD5" s="168"/>
      <c r="AE5" s="168"/>
      <c r="AF5" s="100"/>
      <c r="AG5" s="105"/>
      <c r="AH5" s="105"/>
      <c r="AI5" s="105"/>
      <c r="AJ5" s="105"/>
      <c r="AK5" s="105"/>
      <c r="AM5" s="106"/>
      <c r="AN5" s="49"/>
      <c r="AO5" s="49"/>
      <c r="AP5" s="107"/>
    </row>
    <row r="6" spans="1:42" ht="14.25" customHeight="1">
      <c r="A6" s="49"/>
      <c r="B6" s="49">
        <v>4</v>
      </c>
      <c r="C6" s="49">
        <v>5168.1695</v>
      </c>
      <c r="D6" s="49">
        <v>6912.9544999999998</v>
      </c>
      <c r="E6" s="49">
        <v>10.397344589233398</v>
      </c>
      <c r="F6" s="49"/>
      <c r="G6" s="49">
        <v>1</v>
      </c>
      <c r="H6" s="49">
        <v>5154.018</v>
      </c>
      <c r="I6" s="49">
        <v>4</v>
      </c>
      <c r="J6" s="49">
        <v>5624.7134999999998</v>
      </c>
      <c r="K6" s="49">
        <v>4</v>
      </c>
      <c r="L6" s="49">
        <v>8.4331321716308594</v>
      </c>
      <c r="M6" s="49">
        <v>4</v>
      </c>
      <c r="O6" s="155" t="s">
        <v>17</v>
      </c>
      <c r="P6" s="155" t="s">
        <v>76</v>
      </c>
      <c r="Q6" s="155" t="s">
        <v>18</v>
      </c>
      <c r="R6" s="155" t="s">
        <v>37</v>
      </c>
      <c r="S6" s="155" t="s">
        <v>38</v>
      </c>
      <c r="T6" s="156"/>
      <c r="U6" s="121"/>
      <c r="V6" s="103" t="s">
        <v>79</v>
      </c>
      <c r="W6" s="103" t="s">
        <v>70</v>
      </c>
      <c r="X6" s="103" t="s">
        <v>71</v>
      </c>
      <c r="Y6" s="103" t="s">
        <v>72</v>
      </c>
      <c r="Z6" s="103" t="s">
        <v>70</v>
      </c>
      <c r="AA6" s="103" t="s">
        <v>71</v>
      </c>
      <c r="AB6" s="103" t="s">
        <v>72</v>
      </c>
      <c r="AC6" s="103" t="s">
        <v>70</v>
      </c>
      <c r="AD6" s="103" t="s">
        <v>71</v>
      </c>
      <c r="AE6" s="103" t="s">
        <v>72</v>
      </c>
      <c r="AF6" s="57"/>
      <c r="AG6" s="104" t="s">
        <v>14</v>
      </c>
      <c r="AH6" s="104" t="s">
        <v>12</v>
      </c>
      <c r="AI6" s="104" t="s">
        <v>13</v>
      </c>
      <c r="AJ6" s="104" t="s">
        <v>6</v>
      </c>
      <c r="AK6" s="104" t="s">
        <v>5</v>
      </c>
      <c r="AM6" s="106"/>
      <c r="AN6" s="49"/>
      <c r="AO6" s="49"/>
      <c r="AP6" s="107"/>
    </row>
    <row r="7" spans="1:42">
      <c r="B7" s="47">
        <v>4</v>
      </c>
      <c r="C7" s="47">
        <v>5360.8280000000004</v>
      </c>
      <c r="D7" s="47">
        <v>7248.6824999999999</v>
      </c>
      <c r="E7" s="47">
        <v>9.7809553146362305</v>
      </c>
      <c r="G7" s="47">
        <v>2</v>
      </c>
      <c r="H7" s="47">
        <v>5168.1695</v>
      </c>
      <c r="I7" s="47">
        <v>4</v>
      </c>
      <c r="J7" s="47">
        <v>5885.5654999999997</v>
      </c>
      <c r="K7" s="47">
        <v>4</v>
      </c>
      <c r="L7" s="47">
        <v>8.4873847961425781</v>
      </c>
      <c r="M7" s="47">
        <v>4</v>
      </c>
      <c r="O7" s="157">
        <v>4</v>
      </c>
      <c r="P7" s="21">
        <v>15</v>
      </c>
      <c r="Q7" s="21">
        <v>1.3419321129320349E-2</v>
      </c>
      <c r="R7" s="21">
        <v>5.7540948636131434E-2</v>
      </c>
      <c r="S7" s="21">
        <v>7.5639790569518056E-2</v>
      </c>
      <c r="T7" s="158" t="s">
        <v>36</v>
      </c>
      <c r="U7" s="122"/>
      <c r="V7" s="51">
        <v>4</v>
      </c>
      <c r="W7" s="47">
        <v>5262.2892666666658</v>
      </c>
      <c r="X7" s="47">
        <v>5388.4861306475932</v>
      </c>
      <c r="Y7" s="47">
        <v>5136.0924026857383</v>
      </c>
      <c r="Z7" s="47">
        <v>6484.5867666666654</v>
      </c>
      <c r="AA7" s="47">
        <v>7257.7940594725287</v>
      </c>
      <c r="AB7" s="47">
        <v>5711.3794738608021</v>
      </c>
      <c r="AC7" s="47">
        <v>9.2131442387898765</v>
      </c>
      <c r="AD7" s="47">
        <v>10.309413226356723</v>
      </c>
      <c r="AE7" s="47">
        <v>8.1168752512230302</v>
      </c>
      <c r="AG7" s="49">
        <v>6</v>
      </c>
      <c r="AH7" s="52">
        <v>2</v>
      </c>
      <c r="AI7" s="52">
        <v>5</v>
      </c>
      <c r="AJ7" s="52">
        <v>0.876</v>
      </c>
      <c r="AK7" s="52">
        <v>0.85799999999999998</v>
      </c>
      <c r="AM7" s="106"/>
      <c r="AN7" s="49"/>
      <c r="AO7" s="49"/>
      <c r="AP7" s="107"/>
    </row>
    <row r="8" spans="1:42" ht="13.5" customHeight="1">
      <c r="B8" s="47">
        <v>4</v>
      </c>
      <c r="C8" s="47">
        <v>5215.4285</v>
      </c>
      <c r="D8" s="47">
        <v>6799.8275000000003</v>
      </c>
      <c r="E8" s="47">
        <v>8.8851194381713867</v>
      </c>
      <c r="G8" s="47">
        <v>3</v>
      </c>
      <c r="H8" s="47">
        <v>5201.6215000000002</v>
      </c>
      <c r="I8" s="47">
        <v>4</v>
      </c>
      <c r="J8" s="47">
        <v>5993.6239999999998</v>
      </c>
      <c r="K8" s="47">
        <v>4</v>
      </c>
      <c r="L8" s="47">
        <v>8.4983530044555664</v>
      </c>
      <c r="M8" s="47">
        <v>4</v>
      </c>
      <c r="O8" s="157">
        <v>6</v>
      </c>
      <c r="P8" s="21">
        <v>15</v>
      </c>
      <c r="Q8" s="21">
        <v>5.6857528267041844E-2</v>
      </c>
      <c r="R8" s="21">
        <v>3.84854413902962E-2</v>
      </c>
      <c r="S8" s="21">
        <v>2.4225507070696109E-2</v>
      </c>
      <c r="T8" s="158"/>
      <c r="U8" s="122"/>
      <c r="V8" s="51">
        <v>6</v>
      </c>
      <c r="W8" s="47">
        <v>5916.4841666666653</v>
      </c>
      <c r="X8" s="47">
        <v>6270.5061890362531</v>
      </c>
      <c r="Y8" s="47">
        <v>5562.4621442970774</v>
      </c>
      <c r="Z8" s="47">
        <v>11534.312400000001</v>
      </c>
      <c r="AA8" s="47">
        <v>12400.298163500462</v>
      </c>
      <c r="AB8" s="47">
        <v>10668.32663649954</v>
      </c>
      <c r="AC8" s="47">
        <v>15.400036875406901</v>
      </c>
      <c r="AD8" s="47">
        <v>16.462259942281626</v>
      </c>
      <c r="AE8" s="47">
        <v>14.337813808532175</v>
      </c>
      <c r="AG8" s="48">
        <v>7</v>
      </c>
      <c r="AH8" s="52">
        <v>3</v>
      </c>
      <c r="AI8" s="52">
        <v>6</v>
      </c>
      <c r="AJ8" s="52">
        <v>0.48699999999999999</v>
      </c>
      <c r="AK8" s="52">
        <v>0.83099999999999996</v>
      </c>
      <c r="AM8" s="106"/>
      <c r="AN8" s="49"/>
      <c r="AO8" s="49"/>
      <c r="AP8" s="107"/>
    </row>
    <row r="9" spans="1:42" ht="13.5" customHeight="1">
      <c r="B9" s="47">
        <v>4</v>
      </c>
      <c r="C9" s="47">
        <v>5268.9970000000003</v>
      </c>
      <c r="D9" s="47">
        <v>6475.9049999999997</v>
      </c>
      <c r="E9" s="47">
        <v>9.5466318130493164</v>
      </c>
      <c r="G9" s="47">
        <v>4</v>
      </c>
      <c r="H9" s="47">
        <v>5202.4920000000002</v>
      </c>
      <c r="I9" s="47">
        <v>4</v>
      </c>
      <c r="J9" s="47">
        <v>6282.9975000000004</v>
      </c>
      <c r="K9" s="47">
        <v>4</v>
      </c>
      <c r="L9" s="47">
        <v>8.6570510864257813</v>
      </c>
      <c r="M9" s="47">
        <v>4</v>
      </c>
      <c r="O9" s="157">
        <v>8</v>
      </c>
      <c r="P9" s="21">
        <v>60</v>
      </c>
      <c r="Q9" s="21">
        <v>6.2310495827592521E-3</v>
      </c>
      <c r="R9" s="21">
        <v>6.8288732705468324E-3</v>
      </c>
      <c r="S9" s="21">
        <v>2.7312110316488579E-3</v>
      </c>
      <c r="T9" s="158"/>
      <c r="U9" s="122"/>
      <c r="V9" s="51">
        <v>8</v>
      </c>
      <c r="W9" s="47">
        <v>6875.8330166666656</v>
      </c>
      <c r="X9" s="47">
        <v>7419.4242604052106</v>
      </c>
      <c r="Y9" s="47">
        <v>6332.2417729281206</v>
      </c>
      <c r="Z9" s="47">
        <v>13391.803000000002</v>
      </c>
      <c r="AA9" s="47">
        <v>14256.900373628088</v>
      </c>
      <c r="AB9" s="47">
        <v>12526.705626371915</v>
      </c>
      <c r="AC9" s="47">
        <v>17.331120332082111</v>
      </c>
      <c r="AD9" s="47">
        <v>18.421885084858918</v>
      </c>
      <c r="AE9" s="47">
        <v>16.240355579305305</v>
      </c>
      <c r="AG9" s="49">
        <v>8</v>
      </c>
      <c r="AH9" s="52">
        <v>4</v>
      </c>
      <c r="AI9" s="52">
        <v>7</v>
      </c>
      <c r="AJ9" s="52">
        <v>0.24299999999999999</v>
      </c>
      <c r="AK9" s="52">
        <v>0.79800000000000004</v>
      </c>
      <c r="AM9" s="106"/>
      <c r="AN9" s="49"/>
      <c r="AO9" s="49"/>
      <c r="AP9" s="107"/>
    </row>
    <row r="10" spans="1:42" ht="13.5" customHeight="1">
      <c r="B10" s="47">
        <v>4</v>
      </c>
      <c r="C10" s="47">
        <v>5305.6329999999998</v>
      </c>
      <c r="D10" s="47">
        <v>6293.7560000000003</v>
      </c>
      <c r="E10" s="47">
        <v>8.6570510864257813</v>
      </c>
      <c r="G10" s="47">
        <v>5</v>
      </c>
      <c r="H10" s="47">
        <v>5215.4285</v>
      </c>
      <c r="I10" s="47">
        <v>4</v>
      </c>
      <c r="J10" s="47">
        <v>6293.7560000000003</v>
      </c>
      <c r="K10" s="47">
        <v>4</v>
      </c>
      <c r="L10" s="47">
        <v>8.7504596710205078</v>
      </c>
      <c r="M10" s="47">
        <v>4</v>
      </c>
      <c r="O10" s="157">
        <v>10</v>
      </c>
      <c r="P10" s="21">
        <v>60</v>
      </c>
      <c r="Q10" s="21">
        <v>4.8397694220215252E-3</v>
      </c>
      <c r="R10" s="21">
        <v>8.772929455231249E-3</v>
      </c>
      <c r="S10" s="21">
        <v>4.3686757084450724E-3</v>
      </c>
      <c r="T10" s="158"/>
      <c r="U10" s="122"/>
      <c r="V10" s="51">
        <v>10</v>
      </c>
      <c r="W10" s="47">
        <v>7518.6637083333317</v>
      </c>
      <c r="X10" s="47">
        <v>8029.1394106366606</v>
      </c>
      <c r="Y10" s="47">
        <v>7008.1880060300027</v>
      </c>
      <c r="Z10" s="47">
        <v>13784.601516666666</v>
      </c>
      <c r="AA10" s="47">
        <v>14617.21602668852</v>
      </c>
      <c r="AB10" s="47">
        <v>12951.987006644811</v>
      </c>
      <c r="AC10" s="47">
        <v>17.336302216847738</v>
      </c>
      <c r="AD10" s="47">
        <v>18.246147212705178</v>
      </c>
      <c r="AE10" s="47">
        <v>16.426457220990297</v>
      </c>
      <c r="AG10" s="48">
        <v>9</v>
      </c>
      <c r="AH10" s="52">
        <v>5</v>
      </c>
      <c r="AI10" s="52">
        <v>8</v>
      </c>
      <c r="AJ10" s="52">
        <v>6.6000000000000003E-2</v>
      </c>
      <c r="AK10" s="154">
        <v>0.76</v>
      </c>
      <c r="AM10" s="106"/>
      <c r="AN10" s="49"/>
      <c r="AO10" s="49"/>
      <c r="AP10" s="107"/>
    </row>
    <row r="11" spans="1:42" ht="13.5" customHeight="1">
      <c r="B11" s="47">
        <v>4</v>
      </c>
      <c r="C11" s="47">
        <v>5302.4714999999997</v>
      </c>
      <c r="D11" s="47">
        <v>6785.2920000000004</v>
      </c>
      <c r="E11" s="47">
        <v>9.659153938293457</v>
      </c>
      <c r="G11" s="47">
        <v>6</v>
      </c>
      <c r="H11" s="47">
        <v>5217.1139999999996</v>
      </c>
      <c r="I11" s="47">
        <v>4</v>
      </c>
      <c r="J11" s="47">
        <v>6416.1414999999997</v>
      </c>
      <c r="K11" s="47">
        <v>4</v>
      </c>
      <c r="L11" s="47">
        <v>8.8851194381713867</v>
      </c>
      <c r="M11" s="47">
        <v>4</v>
      </c>
      <c r="O11" s="157">
        <v>12</v>
      </c>
      <c r="P11" s="21">
        <v>60</v>
      </c>
      <c r="Q11" s="21">
        <v>1.3886112388808254E-2</v>
      </c>
      <c r="R11" s="21">
        <v>8.9772363473151207E-3</v>
      </c>
      <c r="S11" s="21">
        <v>1.0488445399981434E-2</v>
      </c>
      <c r="T11" s="158"/>
      <c r="U11" s="122"/>
      <c r="V11" s="51">
        <v>12</v>
      </c>
      <c r="W11" s="47">
        <v>7751.8864250000006</v>
      </c>
      <c r="X11" s="47">
        <v>8348.0489258075322</v>
      </c>
      <c r="Y11" s="47">
        <v>7155.723924192469</v>
      </c>
      <c r="Z11" s="47">
        <v>13596.962783333329</v>
      </c>
      <c r="AA11" s="47">
        <v>14746.228774674879</v>
      </c>
      <c r="AB11" s="47">
        <v>12447.696791991779</v>
      </c>
      <c r="AC11" s="47">
        <v>16.735697952906289</v>
      </c>
      <c r="AD11" s="47">
        <v>18.112321346444727</v>
      </c>
      <c r="AE11" s="47">
        <v>15.359074559367851</v>
      </c>
      <c r="AG11" s="49">
        <v>10</v>
      </c>
      <c r="AH11" s="52">
        <v>5</v>
      </c>
      <c r="AI11" s="52">
        <v>9</v>
      </c>
      <c r="AJ11" s="52">
        <v>0.76500000000000001</v>
      </c>
      <c r="AK11" s="52">
        <v>0.71399999999999997</v>
      </c>
      <c r="AM11" s="106"/>
      <c r="AN11" s="49"/>
      <c r="AO11" s="49"/>
      <c r="AP11" s="107"/>
    </row>
    <row r="12" spans="1:42" ht="13.5" customHeight="1">
      <c r="B12" s="47">
        <v>4</v>
      </c>
      <c r="C12" s="47">
        <v>5293.8125</v>
      </c>
      <c r="D12" s="47">
        <v>6418.6109999999999</v>
      </c>
      <c r="E12" s="47">
        <v>9.2874174118041992</v>
      </c>
      <c r="G12" s="47">
        <v>7</v>
      </c>
      <c r="H12" s="47">
        <v>5226.7475000000004</v>
      </c>
      <c r="I12" s="47">
        <v>4</v>
      </c>
      <c r="J12" s="47">
        <v>6418.6109999999999</v>
      </c>
      <c r="K12" s="47">
        <v>4</v>
      </c>
      <c r="L12" s="47">
        <v>8.9769735336303711</v>
      </c>
      <c r="M12" s="47">
        <v>4</v>
      </c>
      <c r="O12" s="157">
        <v>14</v>
      </c>
      <c r="P12" s="21">
        <v>60</v>
      </c>
      <c r="Q12" s="21">
        <v>1.0645292931272591E-2</v>
      </c>
      <c r="R12" s="21">
        <v>7.635126233979871E-3</v>
      </c>
      <c r="S12" s="21">
        <v>2.1819767063651862E-2</v>
      </c>
      <c r="T12" s="158"/>
      <c r="U12" s="122"/>
      <c r="V12" s="51">
        <v>14</v>
      </c>
      <c r="W12" s="47">
        <v>8049.1278833333317</v>
      </c>
      <c r="X12" s="47">
        <v>8697.6949297598221</v>
      </c>
      <c r="Y12" s="47">
        <v>7400.5608369068414</v>
      </c>
      <c r="Z12" s="47">
        <v>12613.978099999998</v>
      </c>
      <c r="AA12" s="47">
        <v>13636.133588202962</v>
      </c>
      <c r="AB12" s="47">
        <v>11591.822611797035</v>
      </c>
      <c r="AC12" s="47">
        <v>15.035529820124308</v>
      </c>
      <c r="AD12" s="47">
        <v>16.730339306922048</v>
      </c>
      <c r="AE12" s="47">
        <v>13.340720333326569</v>
      </c>
      <c r="AG12" s="48">
        <v>11</v>
      </c>
      <c r="AH12" s="52">
        <v>6</v>
      </c>
      <c r="AI12" s="52">
        <v>10</v>
      </c>
      <c r="AJ12" s="52">
        <v>0.45800000000000002</v>
      </c>
      <c r="AK12" s="154">
        <v>0.66</v>
      </c>
      <c r="AM12" s="106"/>
      <c r="AN12" s="49"/>
      <c r="AO12" s="49"/>
      <c r="AP12" s="107"/>
    </row>
    <row r="13" spans="1:42">
      <c r="B13" s="47">
        <v>4</v>
      </c>
      <c r="C13" s="47">
        <v>5299.6284999999998</v>
      </c>
      <c r="D13" s="47">
        <v>6416.1414999999997</v>
      </c>
      <c r="E13" s="47">
        <v>8.9769735336303711</v>
      </c>
      <c r="G13" s="47">
        <v>8</v>
      </c>
      <c r="H13" s="47">
        <v>5268.9970000000003</v>
      </c>
      <c r="I13" s="47">
        <v>4</v>
      </c>
      <c r="J13" s="47">
        <v>6475.9049999999997</v>
      </c>
      <c r="K13" s="47">
        <v>4</v>
      </c>
      <c r="L13" s="47">
        <v>9.2124910354614258</v>
      </c>
      <c r="M13" s="47">
        <v>4</v>
      </c>
      <c r="O13" s="157">
        <v>16</v>
      </c>
      <c r="P13" s="21">
        <v>90</v>
      </c>
      <c r="Q13" s="157">
        <v>1.0135317626507507E-2</v>
      </c>
      <c r="R13" s="157">
        <v>9.98244314965566E-3</v>
      </c>
      <c r="S13" s="157">
        <v>1.0485093299006461E-2</v>
      </c>
      <c r="T13" s="158"/>
      <c r="U13" s="122"/>
      <c r="V13" s="51">
        <v>16</v>
      </c>
      <c r="W13" s="47">
        <v>8252.214394444447</v>
      </c>
      <c r="X13" s="47">
        <v>9090.4559636756039</v>
      </c>
      <c r="Y13" s="47">
        <v>7413.97282521329</v>
      </c>
      <c r="Z13" s="47">
        <v>11905.264566666667</v>
      </c>
      <c r="AA13" s="47">
        <v>13123.533995646789</v>
      </c>
      <c r="AB13" s="47">
        <v>10686.995137686545</v>
      </c>
      <c r="AC13" s="47">
        <v>13.280892340342204</v>
      </c>
      <c r="AD13" s="47">
        <v>15.115023724342146</v>
      </c>
      <c r="AE13" s="47">
        <v>11.446760956342262</v>
      </c>
      <c r="AG13" s="49">
        <v>12</v>
      </c>
      <c r="AH13" s="52">
        <v>7</v>
      </c>
      <c r="AI13" s="52">
        <v>11</v>
      </c>
      <c r="AJ13" s="52">
        <v>0.23699999999999999</v>
      </c>
      <c r="AK13" s="52">
        <v>0.59499999999999997</v>
      </c>
      <c r="AM13" s="106"/>
      <c r="AN13" s="49"/>
      <c r="AO13" s="49"/>
      <c r="AP13" s="107"/>
    </row>
    <row r="14" spans="1:42">
      <c r="B14" s="47">
        <v>4</v>
      </c>
      <c r="C14" s="47">
        <v>5217.1139999999996</v>
      </c>
      <c r="D14" s="47">
        <v>6573.0805</v>
      </c>
      <c r="E14" s="47">
        <v>9.2124910354614258</v>
      </c>
      <c r="G14" s="47">
        <v>9</v>
      </c>
      <c r="H14" s="47">
        <v>5293.8125</v>
      </c>
      <c r="I14" s="47">
        <v>4</v>
      </c>
      <c r="J14" s="47">
        <v>6573.0805</v>
      </c>
      <c r="K14" s="47">
        <v>4</v>
      </c>
      <c r="L14" s="47">
        <v>9.2874174118041992</v>
      </c>
      <c r="M14" s="47">
        <v>4</v>
      </c>
      <c r="O14" s="157">
        <v>18</v>
      </c>
      <c r="P14" s="21">
        <v>90</v>
      </c>
      <c r="Q14" s="157">
        <v>8.2594264434914973E-3</v>
      </c>
      <c r="R14" s="157">
        <v>8.4666175700333513E-3</v>
      </c>
      <c r="S14" s="157">
        <v>1.3319071470195827E-2</v>
      </c>
      <c r="T14" s="158"/>
      <c r="U14" s="122"/>
      <c r="V14" s="51">
        <v>18</v>
      </c>
      <c r="W14" s="47">
        <v>8420.6771777777758</v>
      </c>
      <c r="X14" s="47">
        <v>9365.0547228547694</v>
      </c>
      <c r="Y14" s="47">
        <v>7476.2996327007822</v>
      </c>
      <c r="Z14" s="47">
        <v>11584.290400000002</v>
      </c>
      <c r="AA14" s="47">
        <v>13148.728531771039</v>
      </c>
      <c r="AB14" s="47">
        <v>10019.852268228964</v>
      </c>
      <c r="AC14" s="47">
        <v>12.291962687174479</v>
      </c>
      <c r="AD14" s="47">
        <v>14.717213566279966</v>
      </c>
      <c r="AE14" s="47">
        <v>9.8667118080689917</v>
      </c>
      <c r="AG14" s="48">
        <v>13</v>
      </c>
      <c r="AH14" s="52">
        <v>8</v>
      </c>
      <c r="AI14" s="52">
        <v>12</v>
      </c>
      <c r="AJ14" s="52">
        <v>6.3E-2</v>
      </c>
      <c r="AK14" s="52">
        <v>0.51800000000000002</v>
      </c>
      <c r="AM14" s="106"/>
      <c r="AN14" s="49"/>
      <c r="AO14" s="49"/>
      <c r="AP14" s="107"/>
    </row>
    <row r="15" spans="1:42">
      <c r="B15" s="47">
        <v>4</v>
      </c>
      <c r="C15" s="47">
        <v>5226.7475000000004</v>
      </c>
      <c r="D15" s="47">
        <v>6282.9975000000004</v>
      </c>
      <c r="E15" s="47">
        <v>8.4873847961425781</v>
      </c>
      <c r="G15" s="47">
        <v>10</v>
      </c>
      <c r="H15" s="47">
        <v>5299.6284999999998</v>
      </c>
      <c r="I15" s="47">
        <v>4</v>
      </c>
      <c r="J15" s="47">
        <v>6676.3815000000004</v>
      </c>
      <c r="K15" s="47">
        <v>4</v>
      </c>
      <c r="L15" s="47">
        <v>9.5466318130493164</v>
      </c>
      <c r="M15" s="47">
        <v>4</v>
      </c>
      <c r="O15" s="157">
        <v>20</v>
      </c>
      <c r="P15" s="21">
        <v>90</v>
      </c>
      <c r="Q15" s="157">
        <v>7.4691048471980069E-3</v>
      </c>
      <c r="R15" s="157">
        <v>1.0172209831240637E-2</v>
      </c>
      <c r="S15" s="157">
        <v>1.8141968560355052E-2</v>
      </c>
      <c r="T15" s="158"/>
      <c r="U15" s="122"/>
      <c r="V15" s="51">
        <v>20</v>
      </c>
      <c r="W15" s="47">
        <v>8592.5202277777826</v>
      </c>
      <c r="X15" s="47">
        <v>9594.8984034695131</v>
      </c>
      <c r="Y15" s="47">
        <v>7590.142052086052</v>
      </c>
      <c r="Z15" s="47">
        <v>11287.691422222228</v>
      </c>
      <c r="AA15" s="47">
        <v>12608.229901177636</v>
      </c>
      <c r="AB15" s="47">
        <v>9967.1529432668194</v>
      </c>
      <c r="AC15" s="47">
        <v>11.204372999403212</v>
      </c>
      <c r="AD15" s="47">
        <v>13.60181956442886</v>
      </c>
      <c r="AE15" s="47">
        <v>8.806926434377564</v>
      </c>
      <c r="AG15" s="49">
        <v>14</v>
      </c>
      <c r="AH15" s="52">
        <v>8</v>
      </c>
      <c r="AI15" s="52">
        <v>13</v>
      </c>
      <c r="AJ15" s="52">
        <v>0.78400000000000003</v>
      </c>
      <c r="AK15" s="52">
        <v>0.42599999999999999</v>
      </c>
      <c r="AM15" s="106"/>
      <c r="AN15" s="49"/>
      <c r="AO15" s="49"/>
      <c r="AP15" s="107"/>
    </row>
    <row r="16" spans="1:42">
      <c r="B16" s="47">
        <v>4</v>
      </c>
      <c r="C16" s="47">
        <v>5154.018</v>
      </c>
      <c r="D16" s="47">
        <v>5624.7134999999998</v>
      </c>
      <c r="E16" s="47">
        <v>8.4983530044555664</v>
      </c>
      <c r="G16" s="47">
        <v>11</v>
      </c>
      <c r="H16" s="47">
        <v>5302.4714999999997</v>
      </c>
      <c r="I16" s="47">
        <v>4</v>
      </c>
      <c r="J16" s="47">
        <v>6785.2920000000004</v>
      </c>
      <c r="K16" s="47">
        <v>4</v>
      </c>
      <c r="L16" s="47">
        <v>9.5740175247192383</v>
      </c>
      <c r="M16" s="47">
        <v>20</v>
      </c>
      <c r="O16" s="157"/>
      <c r="P16" s="21"/>
      <c r="Q16" s="157"/>
      <c r="R16" s="157"/>
      <c r="S16" s="157"/>
      <c r="T16" s="158"/>
      <c r="U16" s="122"/>
      <c r="V16" s="51"/>
      <c r="AG16" s="48">
        <v>15</v>
      </c>
      <c r="AH16" s="52">
        <v>9</v>
      </c>
      <c r="AI16" s="52">
        <v>14</v>
      </c>
      <c r="AJ16" s="52">
        <v>0.495</v>
      </c>
      <c r="AK16" s="52">
        <v>0.316</v>
      </c>
      <c r="AM16" s="108" t="s">
        <v>7</v>
      </c>
      <c r="AN16" s="48">
        <v>14</v>
      </c>
      <c r="AO16" s="49"/>
      <c r="AP16" s="107"/>
    </row>
    <row r="17" spans="2:42">
      <c r="B17" s="47">
        <v>4</v>
      </c>
      <c r="C17" s="47">
        <v>5384.0675000000001</v>
      </c>
      <c r="D17" s="47">
        <v>6676.3815000000004</v>
      </c>
      <c r="E17" s="47">
        <v>10.040622711181641</v>
      </c>
      <c r="G17" s="47">
        <v>12</v>
      </c>
      <c r="H17" s="47">
        <v>5305.6329999999998</v>
      </c>
      <c r="I17" s="47">
        <v>4</v>
      </c>
      <c r="J17" s="47">
        <v>6799.8275000000003</v>
      </c>
      <c r="K17" s="47">
        <v>4</v>
      </c>
      <c r="L17" s="47">
        <v>9.5840730667114258</v>
      </c>
      <c r="M17" s="47">
        <v>4</v>
      </c>
      <c r="O17" s="157"/>
      <c r="P17" s="21"/>
      <c r="Q17" s="157"/>
      <c r="R17" s="157"/>
      <c r="S17" s="157"/>
      <c r="T17" s="158"/>
      <c r="U17" s="122"/>
      <c r="V17" s="51"/>
      <c r="AG17" s="49">
        <v>16</v>
      </c>
      <c r="AH17" s="101">
        <v>10</v>
      </c>
      <c r="AI17" s="101">
        <v>15</v>
      </c>
      <c r="AJ17" s="101">
        <v>0.27400000000000002</v>
      </c>
      <c r="AK17" s="101">
        <v>0.186</v>
      </c>
      <c r="AM17" s="106" t="s">
        <v>8</v>
      </c>
      <c r="AN17" s="49">
        <f>0.95</f>
        <v>0.95</v>
      </c>
      <c r="AO17" s="49"/>
      <c r="AP17" s="107"/>
    </row>
    <row r="18" spans="2:42">
      <c r="B18" s="47">
        <v>4</v>
      </c>
      <c r="C18" s="47">
        <v>5201.6215000000002</v>
      </c>
      <c r="D18" s="47">
        <v>5993.6239999999998</v>
      </c>
      <c r="E18" s="47">
        <v>8.7504596710205078</v>
      </c>
      <c r="G18" s="47">
        <v>13</v>
      </c>
      <c r="H18" s="47">
        <v>5333.31</v>
      </c>
      <c r="I18" s="47">
        <v>4</v>
      </c>
      <c r="J18" s="47">
        <v>6881.2690000000002</v>
      </c>
      <c r="K18" s="47">
        <v>4</v>
      </c>
      <c r="L18" s="47">
        <v>9.6290607452392578</v>
      </c>
      <c r="M18" s="47">
        <v>20</v>
      </c>
      <c r="N18" s="49"/>
      <c r="O18" s="137"/>
      <c r="P18" s="21"/>
      <c r="Q18" s="159"/>
      <c r="R18" s="159"/>
      <c r="S18" s="159"/>
      <c r="T18" s="157"/>
      <c r="AG18" s="49">
        <v>17</v>
      </c>
      <c r="AH18" s="101">
        <v>11</v>
      </c>
      <c r="AI18" s="101">
        <v>16</v>
      </c>
      <c r="AJ18" s="101">
        <v>9.6000000000000002E-2</v>
      </c>
      <c r="AK18" s="101">
        <v>3.1E-2</v>
      </c>
      <c r="AM18" s="109" t="s">
        <v>9</v>
      </c>
      <c r="AN18" s="110">
        <f>0.84</f>
        <v>0.84</v>
      </c>
      <c r="AO18" s="110"/>
      <c r="AP18" s="111"/>
    </row>
    <row r="19" spans="2:42">
      <c r="B19" s="47">
        <v>4</v>
      </c>
      <c r="C19" s="47">
        <v>5333.31</v>
      </c>
      <c r="D19" s="47">
        <v>6881.2690000000002</v>
      </c>
      <c r="E19" s="47">
        <v>9.5840730667114258</v>
      </c>
      <c r="G19" s="47">
        <v>14</v>
      </c>
      <c r="H19" s="47">
        <v>5360.8280000000004</v>
      </c>
      <c r="I19" s="47">
        <v>4</v>
      </c>
      <c r="J19" s="47">
        <v>6912.9544999999998</v>
      </c>
      <c r="K19" s="47">
        <v>4</v>
      </c>
      <c r="L19" s="47">
        <v>9.659153938293457</v>
      </c>
      <c r="M19" s="47">
        <v>4</v>
      </c>
      <c r="N19" s="49"/>
      <c r="O19" s="137"/>
      <c r="P19" s="21"/>
      <c r="Q19" s="157"/>
      <c r="R19" s="157"/>
      <c r="S19" s="157"/>
      <c r="T19" s="157"/>
      <c r="AG19" s="49">
        <v>18</v>
      </c>
      <c r="AH19" s="49">
        <v>11</v>
      </c>
      <c r="AI19" s="49">
        <v>16</v>
      </c>
      <c r="AJ19" s="49">
        <v>0.86699999999999999</v>
      </c>
      <c r="AK19" s="49">
        <v>0.95499999999999996</v>
      </c>
      <c r="AN19" s="47" t="s">
        <v>10</v>
      </c>
    </row>
    <row r="20" spans="2:42">
      <c r="B20" s="47">
        <v>4</v>
      </c>
      <c r="C20" s="47">
        <v>5202.4920000000002</v>
      </c>
      <c r="D20" s="47">
        <v>5885.5654999999997</v>
      </c>
      <c r="E20" s="47">
        <v>8.4331321716308594</v>
      </c>
      <c r="G20" s="47">
        <v>15</v>
      </c>
      <c r="H20" s="47">
        <v>5384.0675000000001</v>
      </c>
      <c r="I20" s="47">
        <v>4</v>
      </c>
      <c r="J20" s="47">
        <v>7248.6824999999999</v>
      </c>
      <c r="K20" s="47">
        <v>4</v>
      </c>
      <c r="L20" s="47">
        <v>9.6740264892578125</v>
      </c>
      <c r="M20" s="47">
        <v>20</v>
      </c>
      <c r="N20" s="49"/>
      <c r="O20" s="56"/>
      <c r="P20" s="21"/>
      <c r="AG20" s="49">
        <v>19</v>
      </c>
      <c r="AH20" s="49">
        <v>12</v>
      </c>
      <c r="AI20" s="49">
        <v>17</v>
      </c>
      <c r="AJ20" s="49">
        <v>0.57599999999999996</v>
      </c>
      <c r="AK20" s="49">
        <v>0.89700000000000002</v>
      </c>
      <c r="AN20" s="47" t="s">
        <v>11</v>
      </c>
    </row>
    <row r="21" spans="2:42">
      <c r="B21" s="47">
        <v>6</v>
      </c>
      <c r="C21" s="47">
        <v>6055.6734999999999</v>
      </c>
      <c r="D21" s="47">
        <v>10982.111000000001</v>
      </c>
      <c r="E21" s="47">
        <v>14.735055923461914</v>
      </c>
      <c r="G21" s="47">
        <v>16</v>
      </c>
      <c r="H21" s="47">
        <v>5680.3755000000001</v>
      </c>
      <c r="I21" s="47">
        <v>6</v>
      </c>
      <c r="J21" s="47">
        <v>10081.438</v>
      </c>
      <c r="K21" s="47">
        <v>20</v>
      </c>
      <c r="L21" s="47">
        <v>9.718693733215332</v>
      </c>
      <c r="M21" s="47">
        <v>20</v>
      </c>
      <c r="N21" s="49"/>
      <c r="O21" s="56"/>
      <c r="P21" s="21"/>
      <c r="AG21" s="49">
        <v>20</v>
      </c>
      <c r="AH21" s="49">
        <v>13</v>
      </c>
      <c r="AI21" s="49">
        <v>18</v>
      </c>
      <c r="AJ21" s="49">
        <v>0.34699999999999998</v>
      </c>
      <c r="AK21" s="49">
        <v>0.83299999999999996</v>
      </c>
      <c r="AM21" s="51" t="s">
        <v>24</v>
      </c>
      <c r="AN21" s="51" t="s">
        <v>25</v>
      </c>
      <c r="AO21" s="47" t="s">
        <v>21</v>
      </c>
      <c r="AP21" s="47" t="s">
        <v>22</v>
      </c>
    </row>
    <row r="22" spans="2:42">
      <c r="B22" s="47">
        <v>6</v>
      </c>
      <c r="C22" s="47">
        <v>5908.1835000000001</v>
      </c>
      <c r="D22" s="47">
        <v>11828.441999999999</v>
      </c>
      <c r="E22" s="47">
        <v>15.875893592834473</v>
      </c>
      <c r="G22" s="47">
        <v>17</v>
      </c>
      <c r="H22" s="47">
        <v>5705.9650000000001</v>
      </c>
      <c r="I22" s="47">
        <v>6</v>
      </c>
      <c r="J22" s="47">
        <v>10167.035</v>
      </c>
      <c r="K22" s="47">
        <v>20</v>
      </c>
      <c r="L22" s="47">
        <v>9.7483768463134766</v>
      </c>
      <c r="M22" s="47">
        <v>20</v>
      </c>
      <c r="N22" s="49"/>
      <c r="O22" s="112"/>
      <c r="P22" s="137"/>
      <c r="Q22" s="112"/>
      <c r="R22" s="113"/>
      <c r="AE22" s="51"/>
      <c r="AF22" s="51"/>
      <c r="AG22" s="49">
        <v>21</v>
      </c>
      <c r="AH22" s="49">
        <v>14</v>
      </c>
      <c r="AI22" s="49">
        <v>19</v>
      </c>
      <c r="AJ22" s="49">
        <v>0.159</v>
      </c>
      <c r="AK22" s="49">
        <v>0.76400000000000001</v>
      </c>
      <c r="AL22" s="46">
        <v>1</v>
      </c>
      <c r="AM22" s="46">
        <f>(FACT(m)/FACT(AL22)/FACT(m-AL22))*(p^AL22)*((1-p)^(m-AL22))</f>
        <v>5.2962331617877183E-10</v>
      </c>
      <c r="AN22" s="46">
        <f>SUM(AM22)</f>
        <v>5.2962331617877183E-10</v>
      </c>
      <c r="AO22" s="46">
        <f>(1-alpha-AN22)/(AN23-AN22)</f>
        <v>2766497.2536571599</v>
      </c>
      <c r="AP22" s="46">
        <f>(alpha-AN22)/(AN23-AN22)</f>
        <v>52563448.346958511</v>
      </c>
    </row>
    <row r="23" spans="2:42">
      <c r="B23" s="47">
        <v>6</v>
      </c>
      <c r="C23" s="47">
        <v>5705.9650000000001</v>
      </c>
      <c r="D23" s="47">
        <v>11556.199000000001</v>
      </c>
      <c r="E23" s="47">
        <v>15.788023948669434</v>
      </c>
      <c r="G23" s="47">
        <v>18</v>
      </c>
      <c r="H23" s="47">
        <v>5732.9740000000002</v>
      </c>
      <c r="I23" s="47">
        <v>6</v>
      </c>
      <c r="J23" s="47">
        <v>10334.153</v>
      </c>
      <c r="K23" s="47">
        <v>20</v>
      </c>
      <c r="L23" s="47">
        <v>9.7809553146362305</v>
      </c>
      <c r="M23" s="47">
        <v>4</v>
      </c>
      <c r="N23" s="49"/>
      <c r="O23" s="112"/>
      <c r="P23" s="137"/>
      <c r="Q23" s="112"/>
      <c r="R23" s="113"/>
      <c r="AG23" s="49">
        <v>22</v>
      </c>
      <c r="AH23" s="49">
        <v>14</v>
      </c>
      <c r="AI23" s="49">
        <v>20</v>
      </c>
      <c r="AJ23" s="49">
        <v>0.997</v>
      </c>
      <c r="AK23" s="49">
        <v>0.68600000000000005</v>
      </c>
      <c r="AL23" s="46">
        <v>2</v>
      </c>
      <c r="AM23" s="46">
        <f t="shared" ref="AM23:AM86" si="0">(FACT(m)/FACT(AL23)/FACT(m-AL23))*(p^AL23)*((1-p)^(m-AL23))</f>
        <v>1.8073395664600582E-8</v>
      </c>
      <c r="AN23" s="46">
        <f>SUM($AM$22:$AM23)</f>
        <v>1.8603018980779354E-8</v>
      </c>
      <c r="AO23" s="46">
        <f t="shared" ref="AO23:AO86" si="1">(1-alpha-AN23)/(AN24-AN23)</f>
        <v>131737.9168408172</v>
      </c>
      <c r="AP23" s="46">
        <f t="shared" ref="AP23:AP86" si="2">(alpha-AN23)/(AN24-AN23)</f>
        <v>2503021.3022361207</v>
      </c>
    </row>
    <row r="24" spans="2:42">
      <c r="B24" s="47">
        <v>6</v>
      </c>
      <c r="C24" s="47">
        <v>5749.5640000000003</v>
      </c>
      <c r="D24" s="47">
        <v>11868.808000000001</v>
      </c>
      <c r="E24" s="47">
        <v>14.677615165710449</v>
      </c>
      <c r="G24" s="47">
        <v>19</v>
      </c>
      <c r="H24" s="47">
        <v>5749.5640000000003</v>
      </c>
      <c r="I24" s="47">
        <v>6</v>
      </c>
      <c r="J24" s="47">
        <v>10415.138000000001</v>
      </c>
      <c r="K24" s="47">
        <v>18</v>
      </c>
      <c r="L24" s="47">
        <v>9.8884897232055664</v>
      </c>
      <c r="M24" s="47">
        <v>20</v>
      </c>
      <c r="N24" s="49"/>
      <c r="O24" s="112"/>
      <c r="P24" s="137"/>
      <c r="Q24" s="113"/>
      <c r="R24" s="113"/>
      <c r="AG24" s="49">
        <v>23</v>
      </c>
      <c r="AH24" s="49">
        <v>15</v>
      </c>
      <c r="AI24" s="49">
        <v>21</v>
      </c>
      <c r="AJ24" s="49">
        <v>0.69399999999999995</v>
      </c>
      <c r="AK24" s="49">
        <v>0.59899999999999998</v>
      </c>
      <c r="AL24" s="46">
        <v>3</v>
      </c>
      <c r="AM24" s="46">
        <f t="shared" si="0"/>
        <v>3.7954130895661207E-7</v>
      </c>
      <c r="AN24" s="46">
        <f>SUM($AM$22:$AM24)</f>
        <v>3.9814432793739142E-7</v>
      </c>
      <c r="AO24" s="46">
        <f t="shared" si="1"/>
        <v>9124.6349326972941</v>
      </c>
      <c r="AP24" s="46">
        <f t="shared" si="2"/>
        <v>173369.37158345425</v>
      </c>
    </row>
    <row r="25" spans="2:42">
      <c r="B25" s="47">
        <v>6</v>
      </c>
      <c r="C25" s="47">
        <v>5932.7605000000003</v>
      </c>
      <c r="D25" s="47">
        <v>10758.316999999999</v>
      </c>
      <c r="E25" s="47">
        <v>14.844813346862793</v>
      </c>
      <c r="G25" s="47">
        <v>20</v>
      </c>
      <c r="H25" s="47">
        <v>5755.5510000000004</v>
      </c>
      <c r="I25" s="47">
        <v>6</v>
      </c>
      <c r="J25" s="47">
        <v>10472.677</v>
      </c>
      <c r="K25" s="47">
        <v>18</v>
      </c>
      <c r="L25" s="47">
        <v>10.040622711181641</v>
      </c>
      <c r="M25" s="47">
        <v>4</v>
      </c>
      <c r="N25" s="49"/>
      <c r="O25" s="112"/>
      <c r="P25" s="137"/>
      <c r="Q25" s="113"/>
      <c r="R25" s="113"/>
      <c r="AG25" s="49">
        <v>24</v>
      </c>
      <c r="AH25" s="49">
        <v>16</v>
      </c>
      <c r="AI25" s="49">
        <v>22</v>
      </c>
      <c r="AJ25" s="50">
        <v>0.45</v>
      </c>
      <c r="AK25" s="49">
        <v>0.501</v>
      </c>
      <c r="AL25" s="46">
        <v>4</v>
      </c>
      <c r="AM25" s="46">
        <f t="shared" si="0"/>
        <v>5.4796276480610867E-6</v>
      </c>
      <c r="AN25" s="46">
        <f>SUM($AM$22:$AM25)</f>
        <v>5.8777719759984777E-6</v>
      </c>
      <c r="AO25" s="46">
        <f t="shared" si="1"/>
        <v>868.91761263783803</v>
      </c>
      <c r="AP25" s="46">
        <f t="shared" si="2"/>
        <v>16511.273484138506</v>
      </c>
    </row>
    <row r="26" spans="2:42">
      <c r="B26" s="47">
        <v>6</v>
      </c>
      <c r="C26" s="47">
        <v>5963.8604999999998</v>
      </c>
      <c r="D26" s="47">
        <v>12025.763000000001</v>
      </c>
      <c r="E26" s="47">
        <v>15.899559020996094</v>
      </c>
      <c r="G26" s="47">
        <v>21</v>
      </c>
      <c r="H26" s="47">
        <v>5832.6580000000004</v>
      </c>
      <c r="I26" s="47">
        <v>6</v>
      </c>
      <c r="J26" s="47">
        <v>10499.484</v>
      </c>
      <c r="K26" s="47">
        <v>20</v>
      </c>
      <c r="L26" s="47">
        <v>10.071426391601563</v>
      </c>
      <c r="M26" s="47">
        <v>20</v>
      </c>
      <c r="O26" s="113"/>
      <c r="P26" s="138"/>
      <c r="Q26" s="113"/>
      <c r="R26" s="113"/>
      <c r="AG26" s="49">
        <v>25</v>
      </c>
      <c r="AH26" s="49">
        <v>17</v>
      </c>
      <c r="AI26" s="49">
        <v>23</v>
      </c>
      <c r="AJ26" s="49">
        <v>0.248</v>
      </c>
      <c r="AK26" s="49">
        <v>0.38900000000000001</v>
      </c>
      <c r="AL26" s="46">
        <v>5</v>
      </c>
      <c r="AM26" s="46">
        <f t="shared" si="0"/>
        <v>5.7536090304641375E-5</v>
      </c>
      <c r="AN26" s="46">
        <f>SUM($AM$22:$AM26)</f>
        <v>6.341386228063986E-5</v>
      </c>
      <c r="AO26" s="46">
        <f t="shared" si="1"/>
        <v>110.21176033496357</v>
      </c>
      <c r="AP26" s="46">
        <f t="shared" si="2"/>
        <v>2096.5426646525098</v>
      </c>
    </row>
    <row r="27" spans="2:42">
      <c r="B27" s="47">
        <v>6</v>
      </c>
      <c r="C27" s="47">
        <v>5832.6580000000004</v>
      </c>
      <c r="D27" s="47">
        <v>11121.617</v>
      </c>
      <c r="E27" s="47">
        <v>14.706531524658203</v>
      </c>
      <c r="G27" s="47">
        <v>22</v>
      </c>
      <c r="H27" s="47">
        <v>5899.9279999999999</v>
      </c>
      <c r="I27" s="47">
        <v>6</v>
      </c>
      <c r="J27" s="47">
        <v>10530.054</v>
      </c>
      <c r="K27" s="47">
        <v>20</v>
      </c>
      <c r="L27" s="47">
        <v>10.107729911804199</v>
      </c>
      <c r="M27" s="47">
        <v>20</v>
      </c>
      <c r="O27" s="113"/>
      <c r="P27" s="138"/>
      <c r="Q27" s="113"/>
      <c r="R27" s="113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>
        <v>26</v>
      </c>
      <c r="AH27" s="49">
        <v>18</v>
      </c>
      <c r="AI27" s="49">
        <v>24</v>
      </c>
      <c r="AJ27" s="49">
        <v>7.6999999999999999E-2</v>
      </c>
      <c r="AK27" s="49">
        <v>0.26200000000000001</v>
      </c>
      <c r="AL27" s="46">
        <v>6</v>
      </c>
      <c r="AM27" s="46">
        <f t="shared" si="0"/>
        <v>4.5309671114905078E-4</v>
      </c>
      <c r="AN27" s="46">
        <f>SUM($AM$22:$AM27)</f>
        <v>5.1651057342969064E-4</v>
      </c>
      <c r="AO27" s="46">
        <f t="shared" si="1"/>
        <v>18.201960055827264</v>
      </c>
      <c r="AP27" s="46">
        <f t="shared" si="2"/>
        <v>349.25711077541825</v>
      </c>
    </row>
    <row r="28" spans="2:42">
      <c r="B28" s="47">
        <v>6</v>
      </c>
      <c r="C28" s="47">
        <v>5755.5510000000004</v>
      </c>
      <c r="D28" s="47">
        <v>12090.888999999999</v>
      </c>
      <c r="E28" s="47">
        <v>16.287277221679688</v>
      </c>
      <c r="G28" s="47">
        <v>23</v>
      </c>
      <c r="H28" s="47">
        <v>5908.1835000000001</v>
      </c>
      <c r="I28" s="47">
        <v>6</v>
      </c>
      <c r="J28" s="47">
        <v>10534.968000000001</v>
      </c>
      <c r="K28" s="47">
        <v>18</v>
      </c>
      <c r="L28" s="47">
        <v>10.273948669433594</v>
      </c>
      <c r="M28" s="47">
        <v>20</v>
      </c>
      <c r="O28" s="112"/>
      <c r="P28" s="137"/>
      <c r="Q28" s="112"/>
      <c r="R28" s="112"/>
      <c r="S28" s="52"/>
      <c r="T28" s="52"/>
      <c r="U28" s="52"/>
      <c r="V28" s="52"/>
      <c r="W28" s="66"/>
      <c r="X28" s="66"/>
      <c r="Y28" s="66"/>
      <c r="Z28" s="63"/>
      <c r="AA28" s="63"/>
      <c r="AB28" s="63"/>
      <c r="AC28" s="63"/>
      <c r="AD28" s="63"/>
      <c r="AE28" s="63"/>
      <c r="AF28" s="63"/>
      <c r="AG28" s="49">
        <v>27</v>
      </c>
      <c r="AH28" s="49">
        <v>18</v>
      </c>
      <c r="AI28" s="49">
        <v>25</v>
      </c>
      <c r="AJ28" s="49">
        <v>0.84599999999999997</v>
      </c>
      <c r="AK28" s="49">
        <v>0.11700000000000001</v>
      </c>
      <c r="AL28" s="46">
        <v>7</v>
      </c>
      <c r="AM28" s="46">
        <f t="shared" si="0"/>
        <v>2.7185802668943039E-3</v>
      </c>
      <c r="AN28" s="46">
        <f>SUM($AM$22:$AM28)</f>
        <v>3.2350908403239948E-3</v>
      </c>
      <c r="AO28" s="46">
        <f t="shared" si="1"/>
        <v>3.7446443658943718</v>
      </c>
      <c r="AP28" s="46">
        <f t="shared" si="2"/>
        <v>75.811071733424413</v>
      </c>
    </row>
    <row r="29" spans="2:42">
      <c r="B29" s="47">
        <v>6</v>
      </c>
      <c r="C29" s="47">
        <v>5732.9740000000002</v>
      </c>
      <c r="D29" s="47">
        <v>11068.517</v>
      </c>
      <c r="E29" s="47">
        <v>15.088603019714355</v>
      </c>
      <c r="G29" s="47">
        <v>24</v>
      </c>
      <c r="H29" s="47">
        <v>5932.7605000000003</v>
      </c>
      <c r="I29" s="47">
        <v>6</v>
      </c>
      <c r="J29" s="47">
        <v>10578.025</v>
      </c>
      <c r="K29" s="47">
        <v>20</v>
      </c>
      <c r="L29" s="47">
        <v>10.279210090637207</v>
      </c>
      <c r="M29" s="47">
        <v>20</v>
      </c>
      <c r="O29" s="112"/>
      <c r="P29" s="112"/>
      <c r="Q29" s="112"/>
      <c r="R29" s="112"/>
      <c r="S29" s="52"/>
      <c r="T29" s="52"/>
      <c r="U29" s="52"/>
      <c r="V29" s="52"/>
      <c r="W29" s="101"/>
      <c r="X29" s="101"/>
      <c r="Y29" s="101"/>
      <c r="Z29" s="101"/>
      <c r="AA29" s="101"/>
      <c r="AB29" s="101"/>
      <c r="AC29" s="55"/>
      <c r="AD29" s="55"/>
      <c r="AE29" s="100"/>
      <c r="AF29" s="100"/>
      <c r="AG29" s="49">
        <v>28</v>
      </c>
      <c r="AH29" s="49">
        <v>19</v>
      </c>
      <c r="AI29" s="49">
        <v>25</v>
      </c>
      <c r="AJ29" s="49">
        <v>0.58399999999999996</v>
      </c>
      <c r="AK29" s="49">
        <v>0.98099999999999998</v>
      </c>
      <c r="AL29" s="46">
        <v>8</v>
      </c>
      <c r="AM29" s="46">
        <f t="shared" si="0"/>
        <v>1.2488478101045706E-2</v>
      </c>
      <c r="AN29" s="46">
        <f>SUM($AM$22:$AM29)</f>
        <v>1.5723568941369701E-2</v>
      </c>
      <c r="AO29" s="46">
        <f t="shared" si="1"/>
        <v>0.78418410454124932</v>
      </c>
      <c r="AP29" s="46">
        <f t="shared" si="2"/>
        <v>21.374591923835549</v>
      </c>
    </row>
    <row r="30" spans="2:42">
      <c r="B30" s="47">
        <v>6</v>
      </c>
      <c r="C30" s="47">
        <v>5680.3755000000001</v>
      </c>
      <c r="D30" s="47">
        <v>11032.638000000001</v>
      </c>
      <c r="E30" s="47">
        <v>14.755152702331543</v>
      </c>
      <c r="G30" s="47">
        <v>25</v>
      </c>
      <c r="H30" s="47">
        <v>5935.3050000000003</v>
      </c>
      <c r="I30" s="47">
        <v>6</v>
      </c>
      <c r="J30" s="47">
        <v>10585.02</v>
      </c>
      <c r="K30" s="47">
        <v>18</v>
      </c>
      <c r="L30" s="47">
        <v>10.292530059814453</v>
      </c>
      <c r="M30" s="47">
        <v>20</v>
      </c>
      <c r="O30" s="112"/>
      <c r="P30" s="112"/>
      <c r="Q30" s="112"/>
      <c r="R30" s="112"/>
      <c r="S30" s="52"/>
      <c r="T30" s="52"/>
      <c r="U30" s="52"/>
      <c r="V30" s="52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49">
        <v>29</v>
      </c>
      <c r="AH30" s="49">
        <v>20</v>
      </c>
      <c r="AI30" s="49">
        <v>26</v>
      </c>
      <c r="AJ30" s="49">
        <v>0.36499999999999999</v>
      </c>
      <c r="AK30" s="50">
        <v>0.91</v>
      </c>
      <c r="AL30" s="46">
        <v>9</v>
      </c>
      <c r="AM30" s="46">
        <f t="shared" si="0"/>
        <v>4.370967335365996E-2</v>
      </c>
      <c r="AN30" s="46">
        <f>SUM($AM$22:$AM30)</f>
        <v>5.9433242295029665E-2</v>
      </c>
      <c r="AO30" s="46">
        <f t="shared" si="1"/>
        <v>-8.2215579222381249E-2</v>
      </c>
      <c r="AP30" s="46">
        <f t="shared" si="2"/>
        <v>7.7617493043183075</v>
      </c>
    </row>
    <row r="31" spans="2:42">
      <c r="B31" s="47">
        <v>6</v>
      </c>
      <c r="C31" s="47">
        <v>6224.2325000000001</v>
      </c>
      <c r="D31" s="47">
        <v>12327.271000000001</v>
      </c>
      <c r="E31" s="47">
        <v>16.133171081542969</v>
      </c>
      <c r="G31" s="47">
        <v>26</v>
      </c>
      <c r="H31" s="47">
        <v>5963.8604999999998</v>
      </c>
      <c r="I31" s="47">
        <v>6</v>
      </c>
      <c r="J31" s="47">
        <v>10586.116</v>
      </c>
      <c r="K31" s="47">
        <v>20</v>
      </c>
      <c r="L31" s="47">
        <v>10.312351226806641</v>
      </c>
      <c r="M31" s="47">
        <v>18</v>
      </c>
      <c r="O31" s="112"/>
      <c r="P31" s="112"/>
      <c r="Q31" s="112"/>
      <c r="R31" s="112"/>
      <c r="S31" s="52"/>
      <c r="T31" s="52"/>
      <c r="U31" s="52"/>
      <c r="V31" s="52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>
        <v>30</v>
      </c>
      <c r="AH31" s="49">
        <v>21</v>
      </c>
      <c r="AI31" s="49">
        <v>27</v>
      </c>
      <c r="AJ31" s="49">
        <v>0.17899999999999999</v>
      </c>
      <c r="AK31" s="49">
        <v>0.83299999999999996</v>
      </c>
      <c r="AL31" s="46">
        <v>10</v>
      </c>
      <c r="AM31" s="46">
        <f t="shared" si="0"/>
        <v>0.11473789255335735</v>
      </c>
      <c r="AN31" s="46">
        <f>SUM($AM$22:$AM31)</f>
        <v>0.17417113484838703</v>
      </c>
      <c r="AO31" s="46">
        <f t="shared" si="1"/>
        <v>-0.56687482721172378</v>
      </c>
      <c r="AP31" s="46">
        <f t="shared" si="2"/>
        <v>3.5418686832143531</v>
      </c>
    </row>
    <row r="32" spans="2:42">
      <c r="B32" s="47">
        <v>6</v>
      </c>
      <c r="C32" s="47">
        <v>5899.9279999999999</v>
      </c>
      <c r="D32" s="47">
        <v>11274.84</v>
      </c>
      <c r="E32" s="47">
        <v>14.913819313049316</v>
      </c>
      <c r="G32" s="47">
        <v>27</v>
      </c>
      <c r="H32" s="47">
        <v>5978.15</v>
      </c>
      <c r="I32" s="47">
        <v>6</v>
      </c>
      <c r="J32" s="47">
        <v>10598.055</v>
      </c>
      <c r="K32" s="47">
        <v>20</v>
      </c>
      <c r="L32" s="47">
        <v>10.321870803833008</v>
      </c>
      <c r="M32" s="47">
        <v>20</v>
      </c>
      <c r="O32" s="112"/>
      <c r="P32" s="112"/>
      <c r="Q32" s="112"/>
      <c r="R32" s="112"/>
      <c r="S32" s="52"/>
      <c r="T32" s="52"/>
      <c r="U32" s="52"/>
      <c r="V32" s="52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>
        <v>31</v>
      </c>
      <c r="AH32" s="49">
        <v>22</v>
      </c>
      <c r="AI32" s="49">
        <v>28</v>
      </c>
      <c r="AJ32" s="49">
        <v>1.7000000000000001E-2</v>
      </c>
      <c r="AK32" s="50">
        <v>0.75</v>
      </c>
      <c r="AL32" s="46">
        <v>11</v>
      </c>
      <c r="AM32" s="46">
        <f t="shared" si="0"/>
        <v>0.21904506760186396</v>
      </c>
      <c r="AN32" s="46">
        <f>SUM($AM$22:$AM32)</f>
        <v>0.39321620245025102</v>
      </c>
      <c r="AO32" s="46">
        <f t="shared" si="1"/>
        <v>-1.1938093921613138</v>
      </c>
      <c r="AP32" s="46">
        <f t="shared" si="2"/>
        <v>1.9366618538776028</v>
      </c>
    </row>
    <row r="33" spans="2:42">
      <c r="B33" s="47">
        <v>6</v>
      </c>
      <c r="C33" s="47">
        <v>5978.15</v>
      </c>
      <c r="D33" s="47">
        <v>11579.456</v>
      </c>
      <c r="E33" s="47">
        <v>15.849233627319336</v>
      </c>
      <c r="G33" s="47">
        <v>28</v>
      </c>
      <c r="H33" s="47">
        <v>6055.6734999999999</v>
      </c>
      <c r="I33" s="47">
        <v>6</v>
      </c>
      <c r="J33" s="47">
        <v>10599.099</v>
      </c>
      <c r="K33" s="47">
        <v>20</v>
      </c>
      <c r="L33" s="47">
        <v>10.327005386352539</v>
      </c>
      <c r="M33" s="47">
        <v>20</v>
      </c>
      <c r="O33" s="52"/>
      <c r="P33" s="52"/>
      <c r="Q33" s="52"/>
      <c r="R33" s="52"/>
      <c r="S33" s="52"/>
      <c r="T33" s="52"/>
      <c r="U33" s="52"/>
      <c r="V33" s="52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>
        <v>32</v>
      </c>
      <c r="AH33" s="49">
        <v>22</v>
      </c>
      <c r="AI33" s="49">
        <v>29</v>
      </c>
      <c r="AJ33" s="49">
        <v>0.748</v>
      </c>
      <c r="AK33" s="49">
        <v>0.65800000000000003</v>
      </c>
      <c r="AL33" s="46">
        <v>12</v>
      </c>
      <c r="AM33" s="46">
        <f t="shared" si="0"/>
        <v>0.28749665122744639</v>
      </c>
      <c r="AN33" s="46">
        <f>SUM($AM$22:$AM33)</f>
        <v>0.6807128536776974</v>
      </c>
      <c r="AO33" s="46">
        <f t="shared" si="1"/>
        <v>-2.7161449617235309</v>
      </c>
      <c r="AP33" s="46">
        <f t="shared" si="2"/>
        <v>1.1596765809913179</v>
      </c>
    </row>
    <row r="34" spans="2:42">
      <c r="B34" s="47">
        <v>6</v>
      </c>
      <c r="C34" s="47">
        <v>6392.0815000000002</v>
      </c>
      <c r="D34" s="47">
        <v>12027.98</v>
      </c>
      <c r="E34" s="47">
        <v>15.805816650390625</v>
      </c>
      <c r="G34" s="47">
        <v>29</v>
      </c>
      <c r="H34" s="47">
        <v>6224.2325000000001</v>
      </c>
      <c r="I34" s="47">
        <v>6</v>
      </c>
      <c r="J34" s="47">
        <v>10629.424999999999</v>
      </c>
      <c r="K34" s="47">
        <v>20</v>
      </c>
      <c r="L34" s="47">
        <v>10.371017456054688</v>
      </c>
      <c r="M34" s="47">
        <v>20</v>
      </c>
      <c r="O34" s="52"/>
      <c r="P34" s="52"/>
      <c r="Q34" s="52"/>
      <c r="R34" s="52"/>
      <c r="S34" s="52"/>
      <c r="T34" s="52"/>
      <c r="U34" s="52"/>
      <c r="V34" s="52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>
        <v>33</v>
      </c>
      <c r="AH34" s="49">
        <v>23</v>
      </c>
      <c r="AI34" s="49">
        <v>30</v>
      </c>
      <c r="AJ34" s="49">
        <v>0.50900000000000001</v>
      </c>
      <c r="AK34" s="49">
        <v>0.55700000000000005</v>
      </c>
      <c r="AL34" s="46">
        <v>13</v>
      </c>
      <c r="AM34" s="46">
        <f t="shared" si="0"/>
        <v>0.23220883368370665</v>
      </c>
      <c r="AN34" s="46">
        <f>SUM($AM$22:$AM34)</f>
        <v>0.91292168736140411</v>
      </c>
      <c r="AO34" s="46">
        <f t="shared" si="1"/>
        <v>-9.9097198979294188</v>
      </c>
      <c r="AP34" s="46">
        <f t="shared" si="2"/>
        <v>0.4258042159768477</v>
      </c>
    </row>
    <row r="35" spans="2:42">
      <c r="B35" s="47">
        <v>6</v>
      </c>
      <c r="C35" s="47">
        <v>5935.3050000000003</v>
      </c>
      <c r="D35" s="47">
        <v>11471.838</v>
      </c>
      <c r="E35" s="47">
        <v>15.639986991882324</v>
      </c>
      <c r="G35" s="47">
        <v>30</v>
      </c>
      <c r="H35" s="47">
        <v>6392.0815000000002</v>
      </c>
      <c r="I35" s="47">
        <v>6</v>
      </c>
      <c r="J35" s="47">
        <v>10652.987999999999</v>
      </c>
      <c r="K35" s="47">
        <v>18</v>
      </c>
      <c r="L35" s="47">
        <v>10.372244834899902</v>
      </c>
      <c r="M35" s="47">
        <v>20</v>
      </c>
      <c r="O35" s="52"/>
      <c r="P35" s="52"/>
      <c r="Q35" s="52"/>
      <c r="R35" s="52"/>
      <c r="S35" s="52"/>
      <c r="T35" s="52"/>
      <c r="U35" s="52"/>
      <c r="V35" s="52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>
        <v>34</v>
      </c>
      <c r="AH35" s="49">
        <v>24</v>
      </c>
      <c r="AI35" s="49">
        <v>31</v>
      </c>
      <c r="AJ35" s="49">
        <v>0.30599999999999999</v>
      </c>
      <c r="AK35" s="49">
        <v>0.44500000000000001</v>
      </c>
      <c r="AL35" s="46">
        <v>14</v>
      </c>
      <c r="AM35" s="46">
        <f t="shared" si="0"/>
        <v>8.7078312631389973E-2</v>
      </c>
      <c r="AN35" s="46">
        <f>SUM($AM$22:$AM35)</f>
        <v>0.9999999999927941</v>
      </c>
      <c r="AO35" s="46" t="e">
        <f t="shared" si="1"/>
        <v>#NUM!</v>
      </c>
      <c r="AP35" s="46" t="e">
        <f t="shared" si="2"/>
        <v>#NUM!</v>
      </c>
    </row>
    <row r="36" spans="2:42">
      <c r="B36" s="47">
        <v>8</v>
      </c>
      <c r="C36" s="47">
        <v>6948.1509999999998</v>
      </c>
      <c r="D36" s="47">
        <v>13393.593000000001</v>
      </c>
      <c r="E36" s="47">
        <v>17.209516525268555</v>
      </c>
      <c r="G36" s="47">
        <v>31</v>
      </c>
      <c r="H36" s="47">
        <v>6486.1139999999996</v>
      </c>
      <c r="I36" s="47">
        <v>8</v>
      </c>
      <c r="J36" s="47">
        <v>10664.909</v>
      </c>
      <c r="K36" s="47">
        <v>18</v>
      </c>
      <c r="L36" s="47">
        <v>10.395659446716309</v>
      </c>
      <c r="M36" s="47">
        <v>20</v>
      </c>
      <c r="O36" s="52"/>
      <c r="P36" s="52"/>
      <c r="Q36" s="52"/>
      <c r="R36" s="52"/>
      <c r="S36" s="52"/>
      <c r="T36" s="52"/>
      <c r="U36" s="52"/>
      <c r="V36" s="52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>
        <v>35</v>
      </c>
      <c r="AH36" s="49">
        <v>25</v>
      </c>
      <c r="AI36" s="49">
        <v>32</v>
      </c>
      <c r="AJ36" s="49">
        <v>0.129</v>
      </c>
      <c r="AK36" s="50">
        <v>0.32</v>
      </c>
      <c r="AL36" s="46">
        <v>15</v>
      </c>
      <c r="AM36" s="46" t="e">
        <f t="shared" si="0"/>
        <v>#NUM!</v>
      </c>
      <c r="AN36" s="46" t="e">
        <f>SUM($AM$22:$AM36)</f>
        <v>#NUM!</v>
      </c>
      <c r="AO36" s="46" t="e">
        <f t="shared" si="1"/>
        <v>#NUM!</v>
      </c>
      <c r="AP36" s="46" t="e">
        <f t="shared" si="2"/>
        <v>#NUM!</v>
      </c>
    </row>
    <row r="37" spans="2:42">
      <c r="B37" s="47">
        <v>8</v>
      </c>
      <c r="C37" s="47">
        <v>6852.9369999999999</v>
      </c>
      <c r="D37" s="47">
        <v>13485.32</v>
      </c>
      <c r="E37" s="47">
        <v>17.231103897094727</v>
      </c>
      <c r="G37" s="47">
        <v>32</v>
      </c>
      <c r="H37" s="47">
        <v>6517.8355000000001</v>
      </c>
      <c r="I37" s="47">
        <v>8</v>
      </c>
      <c r="J37" s="47">
        <v>10670.037</v>
      </c>
      <c r="K37" s="47">
        <v>18</v>
      </c>
      <c r="L37" s="47">
        <v>10.397263526916504</v>
      </c>
      <c r="M37" s="47">
        <v>18</v>
      </c>
      <c r="O37" s="52"/>
      <c r="P37" s="52"/>
      <c r="Q37" s="52"/>
      <c r="R37" s="52"/>
      <c r="S37" s="52"/>
      <c r="T37" s="52"/>
      <c r="U37" s="52"/>
      <c r="V37" s="52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>
        <v>36</v>
      </c>
      <c r="AH37" s="49">
        <v>25</v>
      </c>
      <c r="AI37" s="49">
        <v>33</v>
      </c>
      <c r="AJ37" s="49">
        <v>0.94599999999999995</v>
      </c>
      <c r="AK37" s="50">
        <v>0.18</v>
      </c>
      <c r="AL37" s="46">
        <v>16</v>
      </c>
      <c r="AM37" s="46" t="e">
        <f t="shared" si="0"/>
        <v>#NUM!</v>
      </c>
      <c r="AN37" s="46" t="e">
        <f>SUM($AM$22:$AM37)</f>
        <v>#NUM!</v>
      </c>
      <c r="AO37" s="46" t="e">
        <f t="shared" si="1"/>
        <v>#NUM!</v>
      </c>
      <c r="AP37" s="46" t="e">
        <f t="shared" si="2"/>
        <v>#NUM!</v>
      </c>
    </row>
    <row r="38" spans="2:42">
      <c r="B38" s="47">
        <v>8</v>
      </c>
      <c r="C38" s="47">
        <v>6960.2855</v>
      </c>
      <c r="D38" s="47">
        <v>13917.136</v>
      </c>
      <c r="E38" s="47">
        <v>17.171098709106445</v>
      </c>
      <c r="G38" s="47">
        <v>33</v>
      </c>
      <c r="H38" s="47">
        <v>6521.8559999999998</v>
      </c>
      <c r="I38" s="47">
        <v>8</v>
      </c>
      <c r="J38" s="47">
        <v>10686.388999999999</v>
      </c>
      <c r="K38" s="47">
        <v>20</v>
      </c>
      <c r="L38" s="47">
        <v>10.397344589233398</v>
      </c>
      <c r="M38" s="47">
        <v>4</v>
      </c>
      <c r="O38" s="52"/>
      <c r="P38" s="52"/>
      <c r="Q38" s="52"/>
      <c r="R38" s="52"/>
      <c r="S38" s="52"/>
      <c r="T38" s="52"/>
      <c r="U38" s="52"/>
      <c r="V38" s="52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>
        <v>37</v>
      </c>
      <c r="AH38" s="49">
        <v>26</v>
      </c>
      <c r="AI38" s="49">
        <v>34</v>
      </c>
      <c r="AJ38" s="49">
        <v>0.68300000000000005</v>
      </c>
      <c r="AK38" s="49">
        <v>2.1999999999999999E-2</v>
      </c>
      <c r="AL38" s="46">
        <v>17</v>
      </c>
      <c r="AM38" s="46" t="e">
        <f t="shared" si="0"/>
        <v>#NUM!</v>
      </c>
      <c r="AN38" s="46" t="e">
        <f>SUM($AM$22:$AM38)</f>
        <v>#NUM!</v>
      </c>
      <c r="AO38" s="46" t="e">
        <f t="shared" si="1"/>
        <v>#NUM!</v>
      </c>
      <c r="AP38" s="46" t="e">
        <f t="shared" si="2"/>
        <v>#NUM!</v>
      </c>
    </row>
    <row r="39" spans="2:42">
      <c r="B39" s="47">
        <v>8</v>
      </c>
      <c r="C39" s="47">
        <v>6822.808</v>
      </c>
      <c r="D39" s="47">
        <v>13834.749</v>
      </c>
      <c r="E39" s="47">
        <v>17.550369262695313</v>
      </c>
      <c r="G39" s="47">
        <v>34</v>
      </c>
      <c r="H39" s="47">
        <v>6525.9314999999997</v>
      </c>
      <c r="I39" s="47">
        <v>8</v>
      </c>
      <c r="J39" s="47">
        <v>10696.486000000001</v>
      </c>
      <c r="K39" s="47">
        <v>20</v>
      </c>
      <c r="L39" s="47">
        <v>10.403360366821289</v>
      </c>
      <c r="M39" s="47">
        <v>20</v>
      </c>
      <c r="O39" s="52"/>
      <c r="P39" s="52"/>
      <c r="Q39" s="52"/>
      <c r="R39" s="52"/>
      <c r="S39" s="52"/>
      <c r="T39" s="52"/>
      <c r="U39" s="52"/>
      <c r="V39" s="52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8">
        <v>38</v>
      </c>
      <c r="AH39" s="48">
        <v>27</v>
      </c>
      <c r="AI39" s="48">
        <v>34</v>
      </c>
      <c r="AJ39" s="48">
        <v>0.45900000000000002</v>
      </c>
      <c r="AK39" s="48">
        <v>0.93200000000000005</v>
      </c>
      <c r="AL39" s="46">
        <v>18</v>
      </c>
      <c r="AM39" s="46" t="e">
        <f t="shared" si="0"/>
        <v>#NUM!</v>
      </c>
      <c r="AN39" s="46" t="e">
        <f>SUM($AM$22:$AM39)</f>
        <v>#NUM!</v>
      </c>
      <c r="AO39" s="46" t="e">
        <f t="shared" si="1"/>
        <v>#NUM!</v>
      </c>
      <c r="AP39" s="46" t="e">
        <f t="shared" si="2"/>
        <v>#NUM!</v>
      </c>
    </row>
    <row r="40" spans="2:42">
      <c r="B40" s="47">
        <v>8</v>
      </c>
      <c r="C40" s="47">
        <v>7289.4894999999997</v>
      </c>
      <c r="D40" s="47">
        <v>13544.449000000001</v>
      </c>
      <c r="E40" s="47">
        <v>17.929155349731445</v>
      </c>
      <c r="G40" s="47">
        <v>35</v>
      </c>
      <c r="H40" s="47">
        <v>6591.6184999999996</v>
      </c>
      <c r="I40" s="47">
        <v>8</v>
      </c>
      <c r="J40" s="47">
        <v>10703.904</v>
      </c>
      <c r="K40" s="47">
        <v>18</v>
      </c>
      <c r="L40" s="47">
        <v>10.41545581817627</v>
      </c>
      <c r="M40" s="47">
        <v>20</v>
      </c>
      <c r="O40" s="52"/>
      <c r="P40" s="52"/>
      <c r="Q40" s="52"/>
      <c r="R40" s="52"/>
      <c r="S40" s="52"/>
      <c r="T40" s="52"/>
      <c r="U40" s="52"/>
      <c r="V40" s="52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8">
        <v>39</v>
      </c>
      <c r="AH40" s="48">
        <v>28</v>
      </c>
      <c r="AI40" s="48">
        <v>35</v>
      </c>
      <c r="AJ40" s="48">
        <v>0.26400000000000001</v>
      </c>
      <c r="AK40" s="48">
        <v>0.84799999999999998</v>
      </c>
      <c r="AL40" s="46">
        <v>19</v>
      </c>
      <c r="AM40" s="46" t="e">
        <f t="shared" si="0"/>
        <v>#NUM!</v>
      </c>
      <c r="AN40" s="46" t="e">
        <f>SUM($AM$22:$AM40)</f>
        <v>#NUM!</v>
      </c>
      <c r="AO40" s="46" t="e">
        <f t="shared" si="1"/>
        <v>#NUM!</v>
      </c>
      <c r="AP40" s="46" t="e">
        <f t="shared" si="2"/>
        <v>#NUM!</v>
      </c>
    </row>
    <row r="41" spans="2:42">
      <c r="B41" s="47">
        <v>8</v>
      </c>
      <c r="C41" s="47">
        <v>6679.5469999999996</v>
      </c>
      <c r="D41" s="47">
        <v>12632.486000000001</v>
      </c>
      <c r="E41" s="47">
        <v>16.887750625610352</v>
      </c>
      <c r="G41" s="47">
        <v>36</v>
      </c>
      <c r="H41" s="47">
        <v>6636.4979999999996</v>
      </c>
      <c r="I41" s="47">
        <v>8</v>
      </c>
      <c r="J41" s="47">
        <v>10705.538</v>
      </c>
      <c r="K41" s="47">
        <v>20</v>
      </c>
      <c r="L41" s="47">
        <v>10.453702926635742</v>
      </c>
      <c r="M41" s="47">
        <v>20</v>
      </c>
      <c r="O41" s="52"/>
      <c r="P41" s="52"/>
      <c r="Q41" s="52"/>
      <c r="R41" s="52"/>
      <c r="S41" s="52"/>
      <c r="T41" s="52"/>
      <c r="U41" s="52"/>
      <c r="V41" s="52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8">
        <v>40</v>
      </c>
      <c r="AH41" s="48">
        <v>29</v>
      </c>
      <c r="AI41" s="48">
        <v>36</v>
      </c>
      <c r="AJ41" s="48">
        <v>9.2999999999999999E-2</v>
      </c>
      <c r="AK41" s="48">
        <v>0.75800000000000001</v>
      </c>
      <c r="AL41" s="46">
        <v>20</v>
      </c>
      <c r="AM41" s="46" t="e">
        <f t="shared" si="0"/>
        <v>#NUM!</v>
      </c>
      <c r="AN41" s="46" t="e">
        <f>SUM($AM$22:$AM41)</f>
        <v>#NUM!</v>
      </c>
      <c r="AO41" s="46" t="e">
        <f t="shared" si="1"/>
        <v>#NUM!</v>
      </c>
      <c r="AP41" s="46" t="e">
        <f t="shared" si="2"/>
        <v>#NUM!</v>
      </c>
    </row>
    <row r="42" spans="2:42">
      <c r="B42" s="47">
        <v>8</v>
      </c>
      <c r="C42" s="47">
        <v>7111.7134999999998</v>
      </c>
      <c r="D42" s="47">
        <v>13330.159</v>
      </c>
      <c r="E42" s="47">
        <v>17.618532180786133</v>
      </c>
      <c r="G42" s="47">
        <v>37</v>
      </c>
      <c r="H42" s="47">
        <v>6640.9215000000004</v>
      </c>
      <c r="I42" s="47">
        <v>8</v>
      </c>
      <c r="J42" s="47">
        <v>10710.21</v>
      </c>
      <c r="K42" s="47">
        <v>20</v>
      </c>
      <c r="L42" s="47">
        <v>10.47556209564209</v>
      </c>
      <c r="M42" s="47">
        <v>20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49"/>
      <c r="AA42" s="49"/>
      <c r="AB42" s="49"/>
      <c r="AC42" s="49"/>
      <c r="AD42" s="49"/>
      <c r="AE42" s="49"/>
      <c r="AF42" s="49"/>
      <c r="AG42" s="48">
        <v>50</v>
      </c>
      <c r="AH42" s="48">
        <v>37</v>
      </c>
      <c r="AI42" s="48">
        <v>45</v>
      </c>
      <c r="AJ42" s="48">
        <v>5.3999999999999999E-2</v>
      </c>
      <c r="AK42" s="60">
        <v>0.62</v>
      </c>
      <c r="AL42" s="46">
        <v>21</v>
      </c>
      <c r="AM42" s="46" t="e">
        <f t="shared" si="0"/>
        <v>#NUM!</v>
      </c>
      <c r="AN42" s="46" t="e">
        <f>SUM($AM$22:$AM42)</f>
        <v>#NUM!</v>
      </c>
      <c r="AO42" s="46" t="e">
        <f t="shared" si="1"/>
        <v>#NUM!</v>
      </c>
      <c r="AP42" s="46" t="e">
        <f t="shared" si="2"/>
        <v>#NUM!</v>
      </c>
    </row>
    <row r="43" spans="2:42">
      <c r="B43" s="47">
        <v>8</v>
      </c>
      <c r="C43" s="47">
        <v>6881.4849999999997</v>
      </c>
      <c r="D43" s="47">
        <v>13164.429</v>
      </c>
      <c r="E43" s="47">
        <v>17.293672561645508</v>
      </c>
      <c r="G43" s="47">
        <v>38</v>
      </c>
      <c r="H43" s="47">
        <v>6658.9314999999997</v>
      </c>
      <c r="I43" s="47">
        <v>8</v>
      </c>
      <c r="J43" s="47">
        <v>10726.272999999999</v>
      </c>
      <c r="K43" s="47">
        <v>20</v>
      </c>
      <c r="L43" s="47">
        <v>10.480860710144043</v>
      </c>
      <c r="M43" s="47">
        <v>20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49"/>
      <c r="AA43" s="49"/>
      <c r="AB43" s="49"/>
      <c r="AC43" s="49"/>
      <c r="AD43" s="49"/>
      <c r="AE43" s="49"/>
      <c r="AF43" s="49"/>
      <c r="AG43" s="48">
        <v>60</v>
      </c>
      <c r="AH43" s="48">
        <v>45</v>
      </c>
      <c r="AI43" s="48">
        <v>54</v>
      </c>
      <c r="AJ43" s="48">
        <v>4.8000000000000001E-2</v>
      </c>
      <c r="AK43" s="48">
        <v>0.42199999999999999</v>
      </c>
      <c r="AL43" s="46">
        <v>22</v>
      </c>
      <c r="AM43" s="46" t="e">
        <f t="shared" si="0"/>
        <v>#NUM!</v>
      </c>
      <c r="AN43" s="46" t="e">
        <f>SUM($AM$22:$AM43)</f>
        <v>#NUM!</v>
      </c>
      <c r="AO43" s="46" t="e">
        <f t="shared" si="1"/>
        <v>#NUM!</v>
      </c>
      <c r="AP43" s="46" t="e">
        <f t="shared" si="2"/>
        <v>#NUM!</v>
      </c>
    </row>
    <row r="44" spans="2:42">
      <c r="B44" s="47">
        <v>8</v>
      </c>
      <c r="C44" s="47">
        <v>7030.7280000000001</v>
      </c>
      <c r="D44" s="47">
        <v>13040.893</v>
      </c>
      <c r="E44" s="47">
        <v>16.813093185424805</v>
      </c>
      <c r="G44" s="47">
        <v>39</v>
      </c>
      <c r="H44" s="47">
        <v>6679.5469999999996</v>
      </c>
      <c r="I44" s="47">
        <v>8</v>
      </c>
      <c r="J44" s="47">
        <v>10733.601000000001</v>
      </c>
      <c r="K44" s="47">
        <v>18</v>
      </c>
      <c r="L44" s="47">
        <v>10.481094360351563</v>
      </c>
      <c r="M44" s="47">
        <v>20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AG44" s="48">
        <v>70</v>
      </c>
      <c r="AH44" s="48">
        <v>53</v>
      </c>
      <c r="AI44" s="48">
        <v>63</v>
      </c>
      <c r="AJ44" s="48">
        <v>6.8000000000000005E-2</v>
      </c>
      <c r="AK44" s="48">
        <v>0.159</v>
      </c>
      <c r="AL44" s="46">
        <v>23</v>
      </c>
      <c r="AM44" s="46" t="e">
        <f t="shared" si="0"/>
        <v>#NUM!</v>
      </c>
      <c r="AN44" s="46" t="e">
        <f>SUM($AM$22:$AM44)</f>
        <v>#NUM!</v>
      </c>
      <c r="AO44" s="46" t="e">
        <f t="shared" si="1"/>
        <v>#NUM!</v>
      </c>
      <c r="AP44" s="46" t="e">
        <f t="shared" si="2"/>
        <v>#NUM!</v>
      </c>
    </row>
    <row r="45" spans="2:42">
      <c r="B45" s="47">
        <v>8</v>
      </c>
      <c r="C45" s="47">
        <v>6525.9314999999997</v>
      </c>
      <c r="D45" s="47">
        <v>12824.475</v>
      </c>
      <c r="E45" s="47">
        <v>16.855258941650391</v>
      </c>
      <c r="G45" s="47">
        <v>40</v>
      </c>
      <c r="H45" s="47">
        <v>6684.4579999999996</v>
      </c>
      <c r="I45" s="47">
        <v>8</v>
      </c>
      <c r="J45" s="47">
        <v>10758.316999999999</v>
      </c>
      <c r="K45" s="47">
        <v>6</v>
      </c>
      <c r="L45" s="47">
        <v>10.481490135192871</v>
      </c>
      <c r="M45" s="47">
        <v>20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AG45" s="48">
        <v>80</v>
      </c>
      <c r="AH45" s="48">
        <v>61</v>
      </c>
      <c r="AI45" s="48">
        <v>71</v>
      </c>
      <c r="AJ45" s="48">
        <v>0.111</v>
      </c>
      <c r="AK45" s="60">
        <v>0.9</v>
      </c>
      <c r="AL45" s="46">
        <v>24</v>
      </c>
      <c r="AM45" s="46" t="e">
        <f t="shared" si="0"/>
        <v>#NUM!</v>
      </c>
      <c r="AN45" s="46" t="e">
        <f>SUM($AM$22:$AM45)</f>
        <v>#NUM!</v>
      </c>
      <c r="AO45" s="46" t="e">
        <f t="shared" si="1"/>
        <v>#NUM!</v>
      </c>
      <c r="AP45" s="46" t="e">
        <f t="shared" si="2"/>
        <v>#NUM!</v>
      </c>
    </row>
    <row r="46" spans="2:42">
      <c r="B46" s="47">
        <v>8</v>
      </c>
      <c r="C46" s="47">
        <v>6830.8990000000003</v>
      </c>
      <c r="D46" s="47">
        <v>13005.915000000001</v>
      </c>
      <c r="E46" s="47">
        <v>16.507879257202148</v>
      </c>
      <c r="G46" s="47">
        <v>41</v>
      </c>
      <c r="H46" s="47">
        <v>6685.4350000000004</v>
      </c>
      <c r="I46" s="47">
        <v>8</v>
      </c>
      <c r="J46" s="47">
        <v>10767.529</v>
      </c>
      <c r="K46" s="47">
        <v>20</v>
      </c>
      <c r="L46" s="47">
        <v>10.487228393554688</v>
      </c>
      <c r="M46" s="47">
        <v>18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AG46" s="48">
        <v>90</v>
      </c>
      <c r="AH46" s="48">
        <v>69</v>
      </c>
      <c r="AI46" s="48">
        <v>80</v>
      </c>
      <c r="AJ46" s="48">
        <v>0.17399999999999999</v>
      </c>
      <c r="AK46" s="48">
        <v>0.66100000000000003</v>
      </c>
      <c r="AL46" s="46">
        <v>25</v>
      </c>
      <c r="AM46" s="46" t="e">
        <f t="shared" si="0"/>
        <v>#NUM!</v>
      </c>
      <c r="AN46" s="46" t="e">
        <f>SUM($AM$22:$AM46)</f>
        <v>#NUM!</v>
      </c>
      <c r="AO46" s="46" t="e">
        <f t="shared" si="1"/>
        <v>#NUM!</v>
      </c>
      <c r="AP46" s="46" t="e">
        <f t="shared" si="2"/>
        <v>#NUM!</v>
      </c>
    </row>
    <row r="47" spans="2:42">
      <c r="B47" s="47">
        <v>8</v>
      </c>
      <c r="C47" s="47">
        <v>6591.6184999999996</v>
      </c>
      <c r="D47" s="47">
        <v>13717.191000000001</v>
      </c>
      <c r="E47" s="47">
        <v>17.309846878051758</v>
      </c>
      <c r="G47" s="47">
        <v>42</v>
      </c>
      <c r="H47" s="47">
        <v>6691.0320000000002</v>
      </c>
      <c r="I47" s="47">
        <v>8</v>
      </c>
      <c r="J47" s="47">
        <v>10806.300999999999</v>
      </c>
      <c r="K47" s="47">
        <v>18</v>
      </c>
      <c r="L47" s="47">
        <v>10.492035865783691</v>
      </c>
      <c r="M47" s="47">
        <v>20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AG47" s="48">
        <v>100</v>
      </c>
      <c r="AH47" s="48">
        <v>77</v>
      </c>
      <c r="AI47" s="48">
        <v>89</v>
      </c>
      <c r="AJ47" s="48">
        <v>0.255</v>
      </c>
      <c r="AK47" s="48">
        <v>0.36699999999999999</v>
      </c>
      <c r="AL47" s="46">
        <v>26</v>
      </c>
      <c r="AM47" s="46" t="e">
        <f t="shared" si="0"/>
        <v>#NUM!</v>
      </c>
      <c r="AN47" s="46" t="e">
        <f>SUM($AM$22:$AM47)</f>
        <v>#NUM!</v>
      </c>
      <c r="AO47" s="46" t="e">
        <f t="shared" si="1"/>
        <v>#NUM!</v>
      </c>
      <c r="AP47" s="46" t="e">
        <f t="shared" si="2"/>
        <v>#NUM!</v>
      </c>
    </row>
    <row r="48" spans="2:42">
      <c r="B48" s="47">
        <v>8</v>
      </c>
      <c r="C48" s="47">
        <v>6684.4579999999996</v>
      </c>
      <c r="D48" s="47">
        <v>14240.563</v>
      </c>
      <c r="E48" s="47">
        <v>18.453567504882813</v>
      </c>
      <c r="G48" s="47">
        <v>43</v>
      </c>
      <c r="H48" s="47">
        <v>6699.4849999999997</v>
      </c>
      <c r="I48" s="47">
        <v>8</v>
      </c>
      <c r="J48" s="47">
        <v>10833.503000000001</v>
      </c>
      <c r="K48" s="47">
        <v>20</v>
      </c>
      <c r="L48" s="47">
        <v>10.509722709655762</v>
      </c>
      <c r="M48" s="47">
        <v>20</v>
      </c>
      <c r="N48" s="49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AG48" s="48">
        <v>110</v>
      </c>
      <c r="AH48" s="48">
        <v>85</v>
      </c>
      <c r="AI48" s="48">
        <v>98</v>
      </c>
      <c r="AJ48" s="48">
        <v>0.35499999999999998</v>
      </c>
      <c r="AK48" s="48">
        <v>1.0999999999999999E-2</v>
      </c>
      <c r="AL48" s="46">
        <v>27</v>
      </c>
      <c r="AM48" s="46" t="e">
        <f t="shared" si="0"/>
        <v>#NUM!</v>
      </c>
      <c r="AN48" s="46" t="e">
        <f>SUM($AM$22:$AM48)</f>
        <v>#NUM!</v>
      </c>
      <c r="AO48" s="46" t="e">
        <f t="shared" si="1"/>
        <v>#NUM!</v>
      </c>
      <c r="AP48" s="46" t="e">
        <f t="shared" si="2"/>
        <v>#NUM!</v>
      </c>
    </row>
    <row r="49" spans="2:42">
      <c r="B49" s="47">
        <v>8</v>
      </c>
      <c r="C49" s="47">
        <v>6658.9314999999997</v>
      </c>
      <c r="D49" s="47">
        <v>13190.308999999999</v>
      </c>
      <c r="E49" s="47">
        <v>17.227210998535156</v>
      </c>
      <c r="G49" s="47">
        <v>44</v>
      </c>
      <c r="H49" s="47">
        <v>6704.2150000000001</v>
      </c>
      <c r="I49" s="47">
        <v>8</v>
      </c>
      <c r="J49" s="47">
        <v>10859.38</v>
      </c>
      <c r="K49" s="47">
        <v>20</v>
      </c>
      <c r="L49" s="47">
        <v>10.527604103088379</v>
      </c>
      <c r="M49" s="47">
        <v>20</v>
      </c>
      <c r="N49" s="49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AG49" s="48">
        <v>120</v>
      </c>
      <c r="AH49" s="48">
        <v>93</v>
      </c>
      <c r="AI49" s="48">
        <v>106</v>
      </c>
      <c r="AJ49" s="48">
        <v>0.47199999999999998</v>
      </c>
      <c r="AK49" s="48">
        <v>0.73499999999999999</v>
      </c>
      <c r="AL49" s="46">
        <v>28</v>
      </c>
      <c r="AM49" s="46" t="e">
        <f t="shared" si="0"/>
        <v>#NUM!</v>
      </c>
      <c r="AN49" s="46" t="e">
        <f>SUM($AM$22:$AM49)</f>
        <v>#NUM!</v>
      </c>
      <c r="AO49" s="46" t="e">
        <f t="shared" si="1"/>
        <v>#NUM!</v>
      </c>
      <c r="AP49" s="46" t="e">
        <f t="shared" si="2"/>
        <v>#NUM!</v>
      </c>
    </row>
    <row r="50" spans="2:42">
      <c r="B50" s="47">
        <v>8</v>
      </c>
      <c r="C50" s="47">
        <v>6891.8289999999997</v>
      </c>
      <c r="D50" s="47">
        <v>13436.645</v>
      </c>
      <c r="E50" s="47">
        <v>17.266748428344727</v>
      </c>
      <c r="G50" s="47">
        <v>45</v>
      </c>
      <c r="H50" s="47">
        <v>6723.6745000000001</v>
      </c>
      <c r="I50" s="47">
        <v>8</v>
      </c>
      <c r="J50" s="47">
        <v>10864.152</v>
      </c>
      <c r="K50" s="47">
        <v>20</v>
      </c>
      <c r="L50" s="47">
        <v>10.545735359191895</v>
      </c>
      <c r="M50" s="47">
        <v>20</v>
      </c>
      <c r="N50" s="49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AG50" s="49"/>
      <c r="AH50" s="49"/>
      <c r="AI50" s="49"/>
      <c r="AJ50" s="49"/>
      <c r="AK50" s="49"/>
      <c r="AL50" s="46">
        <v>29</v>
      </c>
      <c r="AM50" s="46" t="e">
        <f t="shared" si="0"/>
        <v>#NUM!</v>
      </c>
      <c r="AN50" s="46" t="e">
        <f>SUM($AM$22:$AM50)</f>
        <v>#NUM!</v>
      </c>
      <c r="AO50" s="46" t="e">
        <f t="shared" si="1"/>
        <v>#NUM!</v>
      </c>
      <c r="AP50" s="46" t="e">
        <f t="shared" si="2"/>
        <v>#NUM!</v>
      </c>
    </row>
    <row r="51" spans="2:42">
      <c r="B51" s="47">
        <v>8</v>
      </c>
      <c r="C51" s="47">
        <v>6844.067</v>
      </c>
      <c r="D51" s="47">
        <v>13636.172</v>
      </c>
      <c r="E51" s="47">
        <v>17.384624481201172</v>
      </c>
      <c r="G51" s="47">
        <v>46</v>
      </c>
      <c r="H51" s="47">
        <v>6727.6554999999998</v>
      </c>
      <c r="I51" s="47">
        <v>8</v>
      </c>
      <c r="J51" s="47">
        <v>10881.312</v>
      </c>
      <c r="K51" s="47">
        <v>16</v>
      </c>
      <c r="L51" s="47">
        <v>10.547500610351563</v>
      </c>
      <c r="M51" s="47">
        <v>20</v>
      </c>
      <c r="N51" s="49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AG51" s="49"/>
      <c r="AH51" s="49"/>
      <c r="AI51" s="49"/>
      <c r="AJ51" s="49"/>
      <c r="AK51" s="49"/>
      <c r="AL51" s="46">
        <v>30</v>
      </c>
      <c r="AM51" s="46" t="e">
        <f t="shared" si="0"/>
        <v>#NUM!</v>
      </c>
      <c r="AN51" s="46" t="e">
        <f>SUM($AM$22:$AM51)</f>
        <v>#NUM!</v>
      </c>
      <c r="AO51" s="46" t="e">
        <f t="shared" si="1"/>
        <v>#NUM!</v>
      </c>
      <c r="AP51" s="46" t="e">
        <f t="shared" si="2"/>
        <v>#NUM!</v>
      </c>
    </row>
    <row r="52" spans="2:42">
      <c r="B52" s="47">
        <v>8</v>
      </c>
      <c r="C52" s="47">
        <v>6728.5079999999998</v>
      </c>
      <c r="D52" s="47">
        <v>13395.777</v>
      </c>
      <c r="E52" s="47">
        <v>17.289085388183594</v>
      </c>
      <c r="G52" s="47">
        <v>47</v>
      </c>
      <c r="H52" s="47">
        <v>6728.5079999999998</v>
      </c>
      <c r="I52" s="47">
        <v>8</v>
      </c>
      <c r="J52" s="47">
        <v>10886.655000000001</v>
      </c>
      <c r="K52" s="47">
        <v>18</v>
      </c>
      <c r="L52" s="47">
        <v>10.584567070007324</v>
      </c>
      <c r="M52" s="47">
        <v>20</v>
      </c>
      <c r="N52" s="49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AG52" s="49"/>
      <c r="AH52" s="49"/>
      <c r="AI52" s="49"/>
      <c r="AJ52" s="49"/>
      <c r="AK52" s="49"/>
      <c r="AL52" s="46">
        <v>31</v>
      </c>
      <c r="AM52" s="46" t="e">
        <f t="shared" si="0"/>
        <v>#NUM!</v>
      </c>
      <c r="AN52" s="46" t="e">
        <f>SUM($AM$22:$AM52)</f>
        <v>#NUM!</v>
      </c>
      <c r="AO52" s="46" t="e">
        <f t="shared" si="1"/>
        <v>#NUM!</v>
      </c>
      <c r="AP52" s="46" t="e">
        <f t="shared" si="2"/>
        <v>#NUM!</v>
      </c>
    </row>
    <row r="53" spans="2:42">
      <c r="B53" s="47">
        <v>8</v>
      </c>
      <c r="C53" s="47">
        <v>6905.2354999999998</v>
      </c>
      <c r="D53" s="47">
        <v>12536.77</v>
      </c>
      <c r="E53" s="47">
        <v>16.278940200805664</v>
      </c>
      <c r="G53" s="47">
        <v>48</v>
      </c>
      <c r="H53" s="47">
        <v>6736.8145000000004</v>
      </c>
      <c r="I53" s="47">
        <v>8</v>
      </c>
      <c r="J53" s="47">
        <v>10887.987999999999</v>
      </c>
      <c r="K53" s="47">
        <v>18</v>
      </c>
      <c r="L53" s="47">
        <v>10.586276054382324</v>
      </c>
      <c r="M53" s="47">
        <v>20</v>
      </c>
      <c r="N53" s="49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AG53" s="52"/>
      <c r="AH53" s="52"/>
      <c r="AI53" s="52"/>
      <c r="AJ53" s="52"/>
      <c r="AK53" s="52"/>
      <c r="AL53" s="46">
        <v>32</v>
      </c>
      <c r="AM53" s="46" t="e">
        <f t="shared" si="0"/>
        <v>#NUM!</v>
      </c>
      <c r="AN53" s="46" t="e">
        <f>SUM($AM$22:$AM53)</f>
        <v>#NUM!</v>
      </c>
      <c r="AO53" s="46" t="e">
        <f t="shared" si="1"/>
        <v>#NUM!</v>
      </c>
      <c r="AP53" s="46" t="e">
        <f t="shared" si="2"/>
        <v>#NUM!</v>
      </c>
    </row>
    <row r="54" spans="2:42">
      <c r="B54" s="47">
        <v>8</v>
      </c>
      <c r="C54" s="47">
        <v>6933.2275</v>
      </c>
      <c r="D54" s="47">
        <v>13607.352999999999</v>
      </c>
      <c r="E54" s="47">
        <v>18.024124145507813</v>
      </c>
      <c r="G54" s="47">
        <v>49</v>
      </c>
      <c r="H54" s="47">
        <v>6772.9449999999997</v>
      </c>
      <c r="I54" s="47">
        <v>8</v>
      </c>
      <c r="J54" s="47">
        <v>10890.423000000001</v>
      </c>
      <c r="K54" s="47">
        <v>16</v>
      </c>
      <c r="L54" s="47">
        <v>10.628192901611328</v>
      </c>
      <c r="M54" s="47">
        <v>20</v>
      </c>
      <c r="N54" s="49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AG54" s="52"/>
      <c r="AH54" s="52"/>
      <c r="AI54" s="52"/>
      <c r="AJ54" s="52"/>
      <c r="AK54" s="52"/>
      <c r="AL54" s="46">
        <v>33</v>
      </c>
      <c r="AM54" s="46" t="e">
        <f t="shared" si="0"/>
        <v>#NUM!</v>
      </c>
      <c r="AN54" s="46" t="e">
        <f>SUM($AM$22:$AM54)</f>
        <v>#NUM!</v>
      </c>
      <c r="AO54" s="46" t="e">
        <f t="shared" si="1"/>
        <v>#NUM!</v>
      </c>
      <c r="AP54" s="46" t="e">
        <f t="shared" si="2"/>
        <v>#NUM!</v>
      </c>
    </row>
    <row r="55" spans="2:42">
      <c r="B55" s="47">
        <v>8</v>
      </c>
      <c r="C55" s="47">
        <v>6878.8040000000001</v>
      </c>
      <c r="D55" s="47">
        <v>13511.562</v>
      </c>
      <c r="E55" s="47">
        <v>17.434244155883789</v>
      </c>
      <c r="G55" s="47">
        <v>50</v>
      </c>
      <c r="H55" s="47">
        <v>6777.0140000000001</v>
      </c>
      <c r="I55" s="47">
        <v>8</v>
      </c>
      <c r="J55" s="47">
        <v>10894.819</v>
      </c>
      <c r="K55" s="47">
        <v>20</v>
      </c>
      <c r="L55" s="47">
        <v>10.64467716217041</v>
      </c>
      <c r="M55" s="47">
        <v>18</v>
      </c>
      <c r="N55" s="49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AG55" s="52"/>
      <c r="AH55" s="52"/>
      <c r="AI55" s="52"/>
      <c r="AJ55" s="52"/>
      <c r="AK55" s="52"/>
      <c r="AL55" s="46">
        <v>34</v>
      </c>
      <c r="AM55" s="46" t="e">
        <f t="shared" si="0"/>
        <v>#NUM!</v>
      </c>
      <c r="AN55" s="46" t="e">
        <f>SUM($AM$22:$AM55)</f>
        <v>#NUM!</v>
      </c>
      <c r="AO55" s="46" t="e">
        <f t="shared" si="1"/>
        <v>#NUM!</v>
      </c>
      <c r="AP55" s="46" t="e">
        <f t="shared" si="2"/>
        <v>#NUM!</v>
      </c>
    </row>
    <row r="56" spans="2:42">
      <c r="B56" s="47">
        <v>8</v>
      </c>
      <c r="C56" s="47">
        <v>6993.7470000000003</v>
      </c>
      <c r="D56" s="47">
        <v>13543.278</v>
      </c>
      <c r="E56" s="47">
        <v>17.326198577880859</v>
      </c>
      <c r="G56" s="47">
        <v>51</v>
      </c>
      <c r="H56" s="47">
        <v>6780.6760000000004</v>
      </c>
      <c r="I56" s="47">
        <v>8</v>
      </c>
      <c r="J56" s="47">
        <v>10901.852000000001</v>
      </c>
      <c r="K56" s="47">
        <v>20</v>
      </c>
      <c r="L56" s="47">
        <v>10.678064346313477</v>
      </c>
      <c r="M56" s="47">
        <v>20</v>
      </c>
      <c r="N56" s="49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AG56" s="52"/>
      <c r="AH56" s="52"/>
      <c r="AI56" s="52"/>
      <c r="AJ56" s="52"/>
      <c r="AK56" s="52"/>
      <c r="AL56" s="46">
        <v>35</v>
      </c>
      <c r="AM56" s="46" t="e">
        <f t="shared" si="0"/>
        <v>#NUM!</v>
      </c>
      <c r="AN56" s="46" t="e">
        <f>SUM($AM$22:$AM56)</f>
        <v>#NUM!</v>
      </c>
      <c r="AO56" s="46" t="e">
        <f t="shared" si="1"/>
        <v>#NUM!</v>
      </c>
      <c r="AP56" s="46" t="e">
        <f t="shared" si="2"/>
        <v>#NUM!</v>
      </c>
    </row>
    <row r="57" spans="2:42">
      <c r="B57" s="47">
        <v>8</v>
      </c>
      <c r="C57" s="47">
        <v>6913.1610000000001</v>
      </c>
      <c r="D57" s="47">
        <v>13376.409</v>
      </c>
      <c r="E57" s="47">
        <v>17.141244888305664</v>
      </c>
      <c r="G57" s="47">
        <v>52</v>
      </c>
      <c r="H57" s="47">
        <v>6810.6419999999998</v>
      </c>
      <c r="I57" s="47">
        <v>8</v>
      </c>
      <c r="J57" s="47">
        <v>10904.912</v>
      </c>
      <c r="K57" s="47">
        <v>18</v>
      </c>
      <c r="L57" s="47">
        <v>10.732308387756348</v>
      </c>
      <c r="M57" s="47">
        <v>18</v>
      </c>
      <c r="N57" s="49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AG57" s="52"/>
      <c r="AH57" s="52"/>
      <c r="AI57" s="52"/>
      <c r="AJ57" s="52"/>
      <c r="AK57" s="52"/>
      <c r="AL57" s="46">
        <v>36</v>
      </c>
      <c r="AM57" s="46" t="e">
        <f t="shared" si="0"/>
        <v>#NUM!</v>
      </c>
      <c r="AN57" s="46" t="e">
        <f>SUM($AM$22:$AM57)</f>
        <v>#NUM!</v>
      </c>
      <c r="AO57" s="46" t="e">
        <f t="shared" si="1"/>
        <v>#NUM!</v>
      </c>
      <c r="AP57" s="46" t="e">
        <f t="shared" si="2"/>
        <v>#NUM!</v>
      </c>
    </row>
    <row r="58" spans="2:42">
      <c r="B58" s="47">
        <v>8</v>
      </c>
      <c r="C58" s="47">
        <v>6832.7020000000002</v>
      </c>
      <c r="D58" s="47">
        <v>13147.837</v>
      </c>
      <c r="E58" s="47">
        <v>17.513036727905273</v>
      </c>
      <c r="G58" s="47">
        <v>53</v>
      </c>
      <c r="H58" s="47">
        <v>6822.808</v>
      </c>
      <c r="I58" s="47">
        <v>8</v>
      </c>
      <c r="J58" s="47">
        <v>10913.648999999999</v>
      </c>
      <c r="K58" s="47">
        <v>20</v>
      </c>
      <c r="L58" s="47">
        <v>10.733250617980957</v>
      </c>
      <c r="M58" s="47">
        <v>20</v>
      </c>
      <c r="N58" s="49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AG58" s="52"/>
      <c r="AH58" s="52"/>
      <c r="AI58" s="52"/>
      <c r="AJ58" s="52"/>
      <c r="AK58" s="52"/>
      <c r="AL58" s="46">
        <v>37</v>
      </c>
      <c r="AM58" s="46" t="e">
        <f t="shared" si="0"/>
        <v>#NUM!</v>
      </c>
      <c r="AN58" s="46" t="e">
        <f>SUM($AM$22:$AM58)</f>
        <v>#NUM!</v>
      </c>
      <c r="AO58" s="46" t="e">
        <f t="shared" si="1"/>
        <v>#NUM!</v>
      </c>
      <c r="AP58" s="46" t="e">
        <f t="shared" si="2"/>
        <v>#NUM!</v>
      </c>
    </row>
    <row r="59" spans="2:42">
      <c r="B59" s="47">
        <v>8</v>
      </c>
      <c r="C59" s="47">
        <v>6699.4849999999997</v>
      </c>
      <c r="D59" s="47">
        <v>12748.821</v>
      </c>
      <c r="E59" s="47">
        <v>16.7857666015625</v>
      </c>
      <c r="G59" s="47">
        <v>54</v>
      </c>
      <c r="H59" s="47">
        <v>6830.8990000000003</v>
      </c>
      <c r="I59" s="47">
        <v>8</v>
      </c>
      <c r="J59" s="47">
        <v>10913.678</v>
      </c>
      <c r="K59" s="47">
        <v>18</v>
      </c>
      <c r="L59" s="47">
        <v>10.738313674926758</v>
      </c>
      <c r="M59" s="47">
        <v>20</v>
      </c>
      <c r="N59" s="49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AG59" s="52"/>
      <c r="AH59" s="52"/>
      <c r="AI59" s="52"/>
      <c r="AJ59" s="52"/>
      <c r="AK59" s="52"/>
      <c r="AL59" s="46">
        <v>38</v>
      </c>
      <c r="AM59" s="46" t="e">
        <f t="shared" si="0"/>
        <v>#NUM!</v>
      </c>
      <c r="AN59" s="46" t="e">
        <f>SUM($AM$22:$AM59)</f>
        <v>#NUM!</v>
      </c>
      <c r="AO59" s="46" t="e">
        <f t="shared" si="1"/>
        <v>#NUM!</v>
      </c>
      <c r="AP59" s="46" t="e">
        <f t="shared" si="2"/>
        <v>#NUM!</v>
      </c>
    </row>
    <row r="60" spans="2:42">
      <c r="B60" s="47">
        <v>8</v>
      </c>
      <c r="C60" s="47">
        <v>6965.9530000000004</v>
      </c>
      <c r="D60" s="47">
        <v>13404.644</v>
      </c>
      <c r="E60" s="47">
        <v>17.950204849243164</v>
      </c>
      <c r="G60" s="47">
        <v>55</v>
      </c>
      <c r="H60" s="47">
        <v>6832.7020000000002</v>
      </c>
      <c r="I60" s="47">
        <v>8</v>
      </c>
      <c r="J60" s="47">
        <v>10916.842000000001</v>
      </c>
      <c r="K60" s="47">
        <v>20</v>
      </c>
      <c r="L60" s="47">
        <v>10.747846603393555</v>
      </c>
      <c r="M60" s="47">
        <v>20</v>
      </c>
      <c r="N60" s="49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AG60" s="52"/>
      <c r="AH60" s="52"/>
      <c r="AI60" s="52"/>
      <c r="AJ60" s="52"/>
      <c r="AK60" s="52"/>
      <c r="AL60" s="46">
        <v>39</v>
      </c>
      <c r="AM60" s="46" t="e">
        <f t="shared" si="0"/>
        <v>#NUM!</v>
      </c>
      <c r="AN60" s="46" t="e">
        <f>SUM($AM$22:$AM60)</f>
        <v>#NUM!</v>
      </c>
      <c r="AO60" s="46" t="e">
        <f t="shared" si="1"/>
        <v>#NUM!</v>
      </c>
      <c r="AP60" s="46" t="e">
        <f t="shared" si="2"/>
        <v>#NUM!</v>
      </c>
    </row>
    <row r="61" spans="2:42">
      <c r="B61" s="47">
        <v>8</v>
      </c>
      <c r="C61" s="47">
        <v>6965.7569999999996</v>
      </c>
      <c r="D61" s="47">
        <v>13328.33</v>
      </c>
      <c r="E61" s="47">
        <v>17.184160232543945</v>
      </c>
      <c r="G61" s="47">
        <v>56</v>
      </c>
      <c r="H61" s="47">
        <v>6839.6760000000004</v>
      </c>
      <c r="I61" s="47">
        <v>8</v>
      </c>
      <c r="J61" s="47">
        <v>10943.33</v>
      </c>
      <c r="K61" s="47">
        <v>18</v>
      </c>
      <c r="L61" s="47">
        <v>10.771830558776855</v>
      </c>
      <c r="M61" s="47">
        <v>18</v>
      </c>
      <c r="N61" s="49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AG61" s="52"/>
      <c r="AH61" s="52"/>
      <c r="AI61" s="52"/>
      <c r="AJ61" s="52"/>
      <c r="AK61" s="52"/>
      <c r="AL61" s="46">
        <v>40</v>
      </c>
      <c r="AM61" s="46" t="e">
        <f t="shared" si="0"/>
        <v>#NUM!</v>
      </c>
      <c r="AN61" s="46" t="e">
        <f>SUM($AM$22:$AM61)</f>
        <v>#NUM!</v>
      </c>
      <c r="AO61" s="46" t="e">
        <f t="shared" si="1"/>
        <v>#NUM!</v>
      </c>
      <c r="AP61" s="46" t="e">
        <f t="shared" si="2"/>
        <v>#NUM!</v>
      </c>
    </row>
    <row r="62" spans="2:42">
      <c r="B62" s="47">
        <v>8</v>
      </c>
      <c r="C62" s="47">
        <v>6777.0140000000001</v>
      </c>
      <c r="D62" s="47">
        <v>13500.161</v>
      </c>
      <c r="E62" s="47">
        <v>17.573818206787109</v>
      </c>
      <c r="G62" s="47">
        <v>57</v>
      </c>
      <c r="H62" s="47">
        <v>6841.03</v>
      </c>
      <c r="I62" s="47">
        <v>8</v>
      </c>
      <c r="J62" s="47">
        <v>10960.566999999999</v>
      </c>
      <c r="K62" s="47">
        <v>20</v>
      </c>
      <c r="L62" s="47">
        <v>10.783828735351563</v>
      </c>
      <c r="M62" s="47">
        <v>20</v>
      </c>
      <c r="N62" s="49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AG62" s="52"/>
      <c r="AH62" s="52"/>
      <c r="AI62" s="52"/>
      <c r="AJ62" s="52"/>
      <c r="AK62" s="52"/>
      <c r="AL62" s="46">
        <v>41</v>
      </c>
      <c r="AM62" s="46" t="e">
        <f t="shared" si="0"/>
        <v>#NUM!</v>
      </c>
      <c r="AN62" s="46" t="e">
        <f>SUM($AM$22:$AM62)</f>
        <v>#NUM!</v>
      </c>
      <c r="AO62" s="46" t="e">
        <f t="shared" si="1"/>
        <v>#NUM!</v>
      </c>
      <c r="AP62" s="46" t="e">
        <f t="shared" si="2"/>
        <v>#NUM!</v>
      </c>
    </row>
    <row r="63" spans="2:42">
      <c r="B63" s="47">
        <v>8</v>
      </c>
      <c r="C63" s="47">
        <v>7041.9669999999996</v>
      </c>
      <c r="D63" s="47">
        <v>13540.02</v>
      </c>
      <c r="E63" s="47">
        <v>17.2667236328125</v>
      </c>
      <c r="G63" s="47">
        <v>58</v>
      </c>
      <c r="H63" s="47">
        <v>6844.067</v>
      </c>
      <c r="I63" s="47">
        <v>8</v>
      </c>
      <c r="J63" s="47">
        <v>10976.707</v>
      </c>
      <c r="K63" s="47">
        <v>18</v>
      </c>
      <c r="L63" s="47">
        <v>10.788516998291016</v>
      </c>
      <c r="M63" s="47">
        <v>20</v>
      </c>
      <c r="N63" s="49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AG63" s="52"/>
      <c r="AH63" s="52"/>
      <c r="AI63" s="52"/>
      <c r="AJ63" s="52"/>
      <c r="AK63" s="52"/>
      <c r="AL63" s="46">
        <v>42</v>
      </c>
      <c r="AM63" s="46" t="e">
        <f t="shared" si="0"/>
        <v>#NUM!</v>
      </c>
      <c r="AN63" s="46" t="e">
        <f>SUM($AM$22:$AM63)</f>
        <v>#NUM!</v>
      </c>
      <c r="AO63" s="46" t="e">
        <f t="shared" si="1"/>
        <v>#NUM!</v>
      </c>
      <c r="AP63" s="46" t="e">
        <f t="shared" si="2"/>
        <v>#NUM!</v>
      </c>
    </row>
    <row r="64" spans="2:42">
      <c r="B64" s="47">
        <v>8</v>
      </c>
      <c r="C64" s="47">
        <v>6927.79</v>
      </c>
      <c r="D64" s="47">
        <v>13339.596</v>
      </c>
      <c r="E64" s="47">
        <v>17.265625</v>
      </c>
      <c r="G64" s="47">
        <v>59</v>
      </c>
      <c r="H64" s="47">
        <v>6852.9369999999999</v>
      </c>
      <c r="I64" s="47">
        <v>8</v>
      </c>
      <c r="J64" s="47">
        <v>10982.111000000001</v>
      </c>
      <c r="K64" s="47">
        <v>6</v>
      </c>
      <c r="L64" s="47">
        <v>10.790127754211426</v>
      </c>
      <c r="M64" s="47">
        <v>18</v>
      </c>
      <c r="N64" s="49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AG64" s="52"/>
      <c r="AH64" s="52"/>
      <c r="AI64" s="52"/>
      <c r="AJ64" s="52"/>
      <c r="AK64" s="52"/>
      <c r="AL64" s="46">
        <v>43</v>
      </c>
      <c r="AM64" s="46" t="e">
        <f t="shared" si="0"/>
        <v>#NUM!</v>
      </c>
      <c r="AN64" s="46" t="e">
        <f>SUM($AM$22:$AM64)</f>
        <v>#NUM!</v>
      </c>
      <c r="AO64" s="46" t="e">
        <f t="shared" si="1"/>
        <v>#NUM!</v>
      </c>
      <c r="AP64" s="46" t="e">
        <f t="shared" si="2"/>
        <v>#NUM!</v>
      </c>
    </row>
    <row r="65" spans="2:42">
      <c r="B65" s="47">
        <v>8</v>
      </c>
      <c r="C65" s="47">
        <v>6517.8355000000001</v>
      </c>
      <c r="D65" s="47">
        <v>13341.9</v>
      </c>
      <c r="E65" s="47">
        <v>17.335199356079102</v>
      </c>
      <c r="G65" s="47">
        <v>60</v>
      </c>
      <c r="H65" s="47">
        <v>6861.4485000000004</v>
      </c>
      <c r="I65" s="47">
        <v>8</v>
      </c>
      <c r="J65" s="47">
        <v>10984.009</v>
      </c>
      <c r="K65" s="47">
        <v>20</v>
      </c>
      <c r="L65" s="47">
        <v>10.848018646240234</v>
      </c>
      <c r="M65" s="47">
        <v>20</v>
      </c>
      <c r="N65" s="49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AG65" s="52"/>
      <c r="AH65" s="52"/>
      <c r="AI65" s="52"/>
      <c r="AJ65" s="52"/>
      <c r="AK65" s="52"/>
      <c r="AL65" s="46">
        <v>44</v>
      </c>
      <c r="AM65" s="46" t="e">
        <f t="shared" si="0"/>
        <v>#NUM!</v>
      </c>
      <c r="AN65" s="46" t="e">
        <f>SUM($AM$22:$AM65)</f>
        <v>#NUM!</v>
      </c>
      <c r="AO65" s="46" t="e">
        <f t="shared" si="1"/>
        <v>#NUM!</v>
      </c>
      <c r="AP65" s="46" t="e">
        <f t="shared" si="2"/>
        <v>#NUM!</v>
      </c>
    </row>
    <row r="66" spans="2:42">
      <c r="B66" s="47">
        <v>8</v>
      </c>
      <c r="C66" s="47">
        <v>7017.2205000000004</v>
      </c>
      <c r="D66" s="47">
        <v>13007.939</v>
      </c>
      <c r="E66" s="47">
        <v>17.082088470458984</v>
      </c>
      <c r="G66" s="47">
        <v>61</v>
      </c>
      <c r="H66" s="47">
        <v>6861.7155000000002</v>
      </c>
      <c r="I66" s="47">
        <v>8</v>
      </c>
      <c r="J66" s="47">
        <v>10992.638000000001</v>
      </c>
      <c r="K66" s="47">
        <v>20</v>
      </c>
      <c r="L66" s="47">
        <v>10.848333358764648</v>
      </c>
      <c r="M66" s="47">
        <v>18</v>
      </c>
      <c r="N66" s="49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AG66" s="52"/>
      <c r="AH66" s="52"/>
      <c r="AI66" s="52"/>
      <c r="AJ66" s="52"/>
      <c r="AK66" s="52"/>
      <c r="AL66" s="46">
        <v>45</v>
      </c>
      <c r="AM66" s="46" t="e">
        <f t="shared" si="0"/>
        <v>#NUM!</v>
      </c>
      <c r="AN66" s="46" t="e">
        <f>SUM($AM$22:$AM66)</f>
        <v>#NUM!</v>
      </c>
      <c r="AO66" s="46" t="e">
        <f t="shared" si="1"/>
        <v>#NUM!</v>
      </c>
      <c r="AP66" s="46" t="e">
        <f t="shared" si="2"/>
        <v>#NUM!</v>
      </c>
    </row>
    <row r="67" spans="2:42">
      <c r="B67" s="47">
        <v>8</v>
      </c>
      <c r="C67" s="47">
        <v>6685.4350000000004</v>
      </c>
      <c r="D67" s="47">
        <v>13382.674999999999</v>
      </c>
      <c r="E67" s="47">
        <v>17.316106796264648</v>
      </c>
      <c r="G67" s="47">
        <v>62</v>
      </c>
      <c r="H67" s="47">
        <v>6870.7105000000001</v>
      </c>
      <c r="I67" s="47">
        <v>8</v>
      </c>
      <c r="J67" s="47">
        <v>10999.705</v>
      </c>
      <c r="K67" s="47">
        <v>20</v>
      </c>
      <c r="L67" s="47">
        <v>10.859234809875488</v>
      </c>
      <c r="M67" s="47">
        <v>20</v>
      </c>
      <c r="N67" s="49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AG67" s="52"/>
      <c r="AH67" s="52"/>
      <c r="AI67" s="52"/>
      <c r="AJ67" s="52"/>
      <c r="AK67" s="52"/>
      <c r="AL67" s="46">
        <v>46</v>
      </c>
      <c r="AM67" s="46" t="e">
        <f t="shared" si="0"/>
        <v>#NUM!</v>
      </c>
      <c r="AN67" s="46" t="e">
        <f>SUM($AM$22:$AM67)</f>
        <v>#NUM!</v>
      </c>
      <c r="AO67" s="46" t="e">
        <f t="shared" si="1"/>
        <v>#NUM!</v>
      </c>
      <c r="AP67" s="46" t="e">
        <f t="shared" si="2"/>
        <v>#NUM!</v>
      </c>
    </row>
    <row r="68" spans="2:42">
      <c r="B68" s="47">
        <v>8</v>
      </c>
      <c r="C68" s="47">
        <v>6636.4979999999996</v>
      </c>
      <c r="D68" s="47">
        <v>12877.504999999999</v>
      </c>
      <c r="E68" s="47">
        <v>16.972955703735352</v>
      </c>
      <c r="G68" s="47">
        <v>63</v>
      </c>
      <c r="H68" s="47">
        <v>6873.88</v>
      </c>
      <c r="I68" s="47">
        <v>8</v>
      </c>
      <c r="J68" s="47">
        <v>11004.118</v>
      </c>
      <c r="K68" s="47">
        <v>20</v>
      </c>
      <c r="L68" s="47">
        <v>10.859994888305664</v>
      </c>
      <c r="M68" s="47">
        <v>20</v>
      </c>
      <c r="N68" s="49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AG68" s="52"/>
      <c r="AH68" s="52"/>
      <c r="AI68" s="52"/>
      <c r="AJ68" s="52"/>
      <c r="AK68" s="52"/>
      <c r="AL68" s="46">
        <v>47</v>
      </c>
      <c r="AM68" s="46" t="e">
        <f t="shared" si="0"/>
        <v>#NUM!</v>
      </c>
      <c r="AN68" s="46" t="e">
        <f>SUM($AM$22:$AM68)</f>
        <v>#NUM!</v>
      </c>
      <c r="AO68" s="46" t="e">
        <f t="shared" si="1"/>
        <v>#NUM!</v>
      </c>
      <c r="AP68" s="46" t="e">
        <f t="shared" si="2"/>
        <v>#NUM!</v>
      </c>
    </row>
    <row r="69" spans="2:42">
      <c r="B69" s="47">
        <v>8</v>
      </c>
      <c r="C69" s="47">
        <v>6839.6760000000004</v>
      </c>
      <c r="D69" s="47">
        <v>12904.607</v>
      </c>
      <c r="E69" s="47">
        <v>16.901962280273438</v>
      </c>
      <c r="G69" s="47">
        <v>64</v>
      </c>
      <c r="H69" s="47">
        <v>6878.8040000000001</v>
      </c>
      <c r="I69" s="47">
        <v>8</v>
      </c>
      <c r="J69" s="47">
        <v>11027.460999999999</v>
      </c>
      <c r="K69" s="47">
        <v>16</v>
      </c>
      <c r="L69" s="47">
        <v>10.865875244140625</v>
      </c>
      <c r="M69" s="47">
        <v>20</v>
      </c>
      <c r="N69" s="49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AG69" s="52"/>
      <c r="AH69" s="52"/>
      <c r="AI69" s="52"/>
      <c r="AJ69" s="52"/>
      <c r="AK69" s="52"/>
      <c r="AL69" s="46">
        <v>48</v>
      </c>
      <c r="AM69" s="46" t="e">
        <f t="shared" si="0"/>
        <v>#NUM!</v>
      </c>
      <c r="AN69" s="46" t="e">
        <f>SUM($AM$22:$AM69)</f>
        <v>#NUM!</v>
      </c>
      <c r="AO69" s="46" t="e">
        <f t="shared" si="1"/>
        <v>#NUM!</v>
      </c>
      <c r="AP69" s="46" t="e">
        <f t="shared" si="2"/>
        <v>#NUM!</v>
      </c>
    </row>
    <row r="70" spans="2:42">
      <c r="B70" s="47">
        <v>8</v>
      </c>
      <c r="C70" s="47">
        <v>6736.8145000000004</v>
      </c>
      <c r="D70" s="47">
        <v>13282.421</v>
      </c>
      <c r="E70" s="47">
        <v>17.545696258544922</v>
      </c>
      <c r="G70" s="47">
        <v>65</v>
      </c>
      <c r="H70" s="47">
        <v>6881.4849999999997</v>
      </c>
      <c r="I70" s="47">
        <v>8</v>
      </c>
      <c r="J70" s="47">
        <v>11032.638000000001</v>
      </c>
      <c r="K70" s="47">
        <v>6</v>
      </c>
      <c r="L70" s="47">
        <v>10.888992309570313</v>
      </c>
      <c r="M70" s="47">
        <v>18</v>
      </c>
      <c r="N70" s="49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AG70" s="52"/>
      <c r="AH70" s="52"/>
      <c r="AI70" s="52"/>
      <c r="AJ70" s="52"/>
      <c r="AK70" s="52"/>
      <c r="AL70" s="46">
        <v>49</v>
      </c>
      <c r="AM70" s="46" t="e">
        <f t="shared" si="0"/>
        <v>#NUM!</v>
      </c>
      <c r="AN70" s="46" t="e">
        <f>SUM($AM$22:$AM70)</f>
        <v>#NUM!</v>
      </c>
      <c r="AO70" s="46" t="e">
        <f t="shared" si="1"/>
        <v>#NUM!</v>
      </c>
      <c r="AP70" s="46" t="e">
        <f t="shared" si="2"/>
        <v>#NUM!</v>
      </c>
    </row>
    <row r="71" spans="2:42">
      <c r="B71" s="47">
        <v>8</v>
      </c>
      <c r="C71" s="47">
        <v>6772.9449999999997</v>
      </c>
      <c r="D71" s="47">
        <v>13744.003000000001</v>
      </c>
      <c r="E71" s="47">
        <v>17.339971542358398</v>
      </c>
      <c r="G71" s="47">
        <v>66</v>
      </c>
      <c r="H71" s="47">
        <v>6891.8289999999997</v>
      </c>
      <c r="I71" s="47">
        <v>8</v>
      </c>
      <c r="J71" s="47">
        <v>11034.964</v>
      </c>
      <c r="K71" s="47">
        <v>16</v>
      </c>
      <c r="L71" s="47">
        <v>10.93040657043457</v>
      </c>
      <c r="M71" s="47">
        <v>20</v>
      </c>
      <c r="N71" s="49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AG71" s="52"/>
      <c r="AH71" s="52"/>
      <c r="AI71" s="52"/>
      <c r="AJ71" s="52"/>
      <c r="AK71" s="52"/>
      <c r="AL71" s="46">
        <v>50</v>
      </c>
      <c r="AM71" s="46" t="e">
        <f t="shared" si="0"/>
        <v>#NUM!</v>
      </c>
      <c r="AN71" s="46" t="e">
        <f>SUM($AM$22:$AM71)</f>
        <v>#NUM!</v>
      </c>
      <c r="AO71" s="46" t="e">
        <f t="shared" si="1"/>
        <v>#NUM!</v>
      </c>
      <c r="AP71" s="46" t="e">
        <f t="shared" si="2"/>
        <v>#NUM!</v>
      </c>
    </row>
    <row r="72" spans="2:42">
      <c r="B72" s="47">
        <v>8</v>
      </c>
      <c r="C72" s="47">
        <v>6486.1139999999996</v>
      </c>
      <c r="D72" s="47">
        <v>13104.867</v>
      </c>
      <c r="E72" s="47">
        <v>16.935911178588867</v>
      </c>
      <c r="G72" s="47">
        <v>67</v>
      </c>
      <c r="H72" s="47">
        <v>6905.2354999999998</v>
      </c>
      <c r="I72" s="47">
        <v>8</v>
      </c>
      <c r="J72" s="47">
        <v>11036.741</v>
      </c>
      <c r="K72" s="47">
        <v>20</v>
      </c>
      <c r="L72" s="47">
        <v>11.020030975341797</v>
      </c>
      <c r="M72" s="47">
        <v>20</v>
      </c>
      <c r="N72" s="49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AG72" s="52"/>
      <c r="AH72" s="52"/>
      <c r="AI72" s="52"/>
      <c r="AJ72" s="52"/>
      <c r="AK72" s="52"/>
      <c r="AL72" s="46">
        <v>51</v>
      </c>
      <c r="AM72" s="46" t="e">
        <f t="shared" si="0"/>
        <v>#NUM!</v>
      </c>
      <c r="AN72" s="46" t="e">
        <f>SUM($AM$22:$AM72)</f>
        <v>#NUM!</v>
      </c>
      <c r="AO72" s="46" t="e">
        <f t="shared" si="1"/>
        <v>#NUM!</v>
      </c>
      <c r="AP72" s="46" t="e">
        <f t="shared" si="2"/>
        <v>#NUM!</v>
      </c>
    </row>
    <row r="73" spans="2:42">
      <c r="B73" s="47">
        <v>8</v>
      </c>
      <c r="C73" s="47">
        <v>6873.88</v>
      </c>
      <c r="D73" s="47">
        <v>14358.088</v>
      </c>
      <c r="E73" s="47">
        <v>17.614297866821289</v>
      </c>
      <c r="G73" s="47">
        <v>68</v>
      </c>
      <c r="H73" s="47">
        <v>6913.1610000000001</v>
      </c>
      <c r="I73" s="47">
        <v>8</v>
      </c>
      <c r="J73" s="47">
        <v>11040.394</v>
      </c>
      <c r="K73" s="47">
        <v>18</v>
      </c>
      <c r="L73" s="47">
        <v>11.027270317077637</v>
      </c>
      <c r="M73" s="47">
        <v>20</v>
      </c>
      <c r="N73" s="49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AG73" s="52"/>
      <c r="AH73" s="52"/>
      <c r="AI73" s="52"/>
      <c r="AJ73" s="52"/>
      <c r="AK73" s="52"/>
      <c r="AL73" s="46">
        <v>52</v>
      </c>
      <c r="AM73" s="46" t="e">
        <f t="shared" si="0"/>
        <v>#NUM!</v>
      </c>
      <c r="AN73" s="46" t="e">
        <f>SUM($AM$22:$AM73)</f>
        <v>#NUM!</v>
      </c>
      <c r="AO73" s="46" t="e">
        <f t="shared" si="1"/>
        <v>#NUM!</v>
      </c>
      <c r="AP73" s="46" t="e">
        <f t="shared" si="2"/>
        <v>#NUM!</v>
      </c>
    </row>
    <row r="74" spans="2:42">
      <c r="B74" s="47">
        <v>8</v>
      </c>
      <c r="C74" s="47">
        <v>6640.9215000000004</v>
      </c>
      <c r="D74" s="47">
        <v>12963.663</v>
      </c>
      <c r="E74" s="47">
        <v>17.095939636230469</v>
      </c>
      <c r="G74" s="47">
        <v>69</v>
      </c>
      <c r="H74" s="47">
        <v>6927.79</v>
      </c>
      <c r="I74" s="47">
        <v>8</v>
      </c>
      <c r="J74" s="47">
        <v>11040.434999999999</v>
      </c>
      <c r="K74" s="47">
        <v>20</v>
      </c>
      <c r="L74" s="47">
        <v>11.048103332519531</v>
      </c>
      <c r="M74" s="47">
        <v>20</v>
      </c>
      <c r="N74" s="49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AG74" s="52"/>
      <c r="AH74" s="52"/>
      <c r="AI74" s="52"/>
      <c r="AJ74" s="52"/>
      <c r="AK74" s="52"/>
      <c r="AL74" s="46">
        <v>53</v>
      </c>
      <c r="AM74" s="46" t="e">
        <f t="shared" si="0"/>
        <v>#NUM!</v>
      </c>
      <c r="AN74" s="46" t="e">
        <f>SUM($AM$22:$AM74)</f>
        <v>#NUM!</v>
      </c>
      <c r="AO74" s="46" t="e">
        <f t="shared" si="1"/>
        <v>#NUM!</v>
      </c>
      <c r="AP74" s="46" t="e">
        <f t="shared" si="2"/>
        <v>#NUM!</v>
      </c>
    </row>
    <row r="75" spans="2:42">
      <c r="B75" s="47">
        <v>8</v>
      </c>
      <c r="C75" s="47">
        <v>6727.6554999999998</v>
      </c>
      <c r="D75" s="47">
        <v>13742.288</v>
      </c>
      <c r="E75" s="47">
        <v>17.995716094970703</v>
      </c>
      <c r="G75" s="47">
        <v>70</v>
      </c>
      <c r="H75" s="47">
        <v>6933.2275</v>
      </c>
      <c r="I75" s="47">
        <v>8</v>
      </c>
      <c r="J75" s="47">
        <v>11041.183999999999</v>
      </c>
      <c r="K75" s="47">
        <v>18</v>
      </c>
      <c r="L75" s="47">
        <v>11.056553840637207</v>
      </c>
      <c r="M75" s="47">
        <v>20</v>
      </c>
      <c r="N75" s="49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AG75" s="52"/>
      <c r="AH75" s="52"/>
      <c r="AI75" s="52"/>
      <c r="AJ75" s="52"/>
      <c r="AK75" s="52"/>
      <c r="AL75" s="46">
        <v>54</v>
      </c>
      <c r="AM75" s="46" t="e">
        <f t="shared" si="0"/>
        <v>#NUM!</v>
      </c>
      <c r="AN75" s="46" t="e">
        <f>SUM($AM$22:$AM75)</f>
        <v>#NUM!</v>
      </c>
      <c r="AO75" s="46" t="e">
        <f t="shared" si="1"/>
        <v>#NUM!</v>
      </c>
      <c r="AP75" s="46" t="e">
        <f t="shared" si="2"/>
        <v>#NUM!</v>
      </c>
    </row>
    <row r="76" spans="2:42">
      <c r="B76" s="47">
        <v>8</v>
      </c>
      <c r="C76" s="47">
        <v>7056.0325000000003</v>
      </c>
      <c r="D76" s="47">
        <v>13581.291999999999</v>
      </c>
      <c r="E76" s="47">
        <v>17.481330871582031</v>
      </c>
      <c r="G76" s="47">
        <v>71</v>
      </c>
      <c r="H76" s="47">
        <v>6948.1509999999998</v>
      </c>
      <c r="I76" s="47">
        <v>8</v>
      </c>
      <c r="J76" s="47">
        <v>11044.722</v>
      </c>
      <c r="K76" s="47">
        <v>18</v>
      </c>
      <c r="L76" s="47">
        <v>11.070590019226074</v>
      </c>
      <c r="M76" s="47">
        <v>20</v>
      </c>
      <c r="N76" s="49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AG76" s="52"/>
      <c r="AH76" s="52"/>
      <c r="AI76" s="52"/>
      <c r="AJ76" s="52"/>
      <c r="AK76" s="52"/>
      <c r="AL76" s="46">
        <v>55</v>
      </c>
      <c r="AM76" s="46" t="e">
        <f t="shared" si="0"/>
        <v>#NUM!</v>
      </c>
      <c r="AN76" s="46" t="e">
        <f>SUM($AM$22:$AM76)</f>
        <v>#NUM!</v>
      </c>
      <c r="AO76" s="46" t="e">
        <f t="shared" si="1"/>
        <v>#NUM!</v>
      </c>
      <c r="AP76" s="46" t="e">
        <f t="shared" si="2"/>
        <v>#NUM!</v>
      </c>
    </row>
    <row r="77" spans="2:42">
      <c r="B77" s="47">
        <v>8</v>
      </c>
      <c r="C77" s="47">
        <v>6810.6419999999998</v>
      </c>
      <c r="D77" s="47">
        <v>13343.41</v>
      </c>
      <c r="E77" s="47">
        <v>17.249366760253906</v>
      </c>
      <c r="G77" s="47">
        <v>72</v>
      </c>
      <c r="H77" s="47">
        <v>6960.2855</v>
      </c>
      <c r="I77" s="47">
        <v>8</v>
      </c>
      <c r="J77" s="47">
        <v>11045.536</v>
      </c>
      <c r="K77" s="47">
        <v>18</v>
      </c>
      <c r="L77" s="47">
        <v>11.070852279663086</v>
      </c>
      <c r="M77" s="47">
        <v>20</v>
      </c>
      <c r="N77" s="49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AG77" s="52"/>
      <c r="AH77" s="52"/>
      <c r="AI77" s="52"/>
      <c r="AJ77" s="52"/>
      <c r="AK77" s="52"/>
      <c r="AL77" s="46">
        <v>56</v>
      </c>
      <c r="AM77" s="46" t="e">
        <f t="shared" si="0"/>
        <v>#NUM!</v>
      </c>
      <c r="AN77" s="46" t="e">
        <f>SUM($AM$22:$AM77)</f>
        <v>#NUM!</v>
      </c>
      <c r="AO77" s="46" t="e">
        <f t="shared" si="1"/>
        <v>#NUM!</v>
      </c>
      <c r="AP77" s="46" t="e">
        <f t="shared" si="2"/>
        <v>#NUM!</v>
      </c>
    </row>
    <row r="78" spans="2:42">
      <c r="B78" s="47">
        <v>8</v>
      </c>
      <c r="C78" s="47">
        <v>6704.2150000000001</v>
      </c>
      <c r="D78" s="47">
        <v>12997.689</v>
      </c>
      <c r="E78" s="47">
        <v>17.291040420532227</v>
      </c>
      <c r="G78" s="47">
        <v>73</v>
      </c>
      <c r="H78" s="47">
        <v>6965.7569999999996</v>
      </c>
      <c r="I78" s="47">
        <v>8</v>
      </c>
      <c r="J78" s="47">
        <v>11064.25</v>
      </c>
      <c r="K78" s="47">
        <v>16</v>
      </c>
      <c r="L78" s="47">
        <v>11.079747200012207</v>
      </c>
      <c r="M78" s="47">
        <v>20</v>
      </c>
      <c r="N78" s="49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AG78" s="52"/>
      <c r="AH78" s="52"/>
      <c r="AI78" s="52"/>
      <c r="AJ78" s="52"/>
      <c r="AK78" s="52"/>
      <c r="AL78" s="46">
        <v>57</v>
      </c>
      <c r="AM78" s="46" t="e">
        <f t="shared" si="0"/>
        <v>#NUM!</v>
      </c>
      <c r="AN78" s="46" t="e">
        <f>SUM($AM$22:$AM78)</f>
        <v>#NUM!</v>
      </c>
      <c r="AO78" s="46" t="e">
        <f t="shared" si="1"/>
        <v>#NUM!</v>
      </c>
      <c r="AP78" s="46" t="e">
        <f t="shared" si="2"/>
        <v>#NUM!</v>
      </c>
    </row>
    <row r="79" spans="2:42">
      <c r="B79" s="47">
        <v>8</v>
      </c>
      <c r="C79" s="47">
        <v>7013.6260000000002</v>
      </c>
      <c r="D79" s="47">
        <v>13446.093000000001</v>
      </c>
      <c r="E79" s="47">
        <v>17.293363571166992</v>
      </c>
      <c r="G79" s="47">
        <v>74</v>
      </c>
      <c r="H79" s="47">
        <v>6965.9530000000004</v>
      </c>
      <c r="I79" s="47">
        <v>8</v>
      </c>
      <c r="J79" s="47">
        <v>11066.450999999999</v>
      </c>
      <c r="K79" s="47">
        <v>20</v>
      </c>
      <c r="L79" s="47">
        <v>11.134340286254883</v>
      </c>
      <c r="M79" s="47">
        <v>18</v>
      </c>
      <c r="N79" s="49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AG79" s="49"/>
      <c r="AH79" s="49"/>
      <c r="AI79" s="49"/>
      <c r="AJ79" s="49"/>
      <c r="AK79" s="49"/>
      <c r="AL79" s="46">
        <v>58</v>
      </c>
      <c r="AM79" s="46" t="e">
        <f t="shared" si="0"/>
        <v>#NUM!</v>
      </c>
      <c r="AN79" s="46" t="e">
        <f>SUM($AM$22:$AM79)</f>
        <v>#NUM!</v>
      </c>
      <c r="AO79" s="46" t="e">
        <f t="shared" si="1"/>
        <v>#NUM!</v>
      </c>
      <c r="AP79" s="46" t="e">
        <f t="shared" si="2"/>
        <v>#NUM!</v>
      </c>
    </row>
    <row r="80" spans="2:42">
      <c r="B80" s="47">
        <v>8</v>
      </c>
      <c r="C80" s="47">
        <v>6723.6745000000001</v>
      </c>
      <c r="D80" s="47">
        <v>14011.986000000001</v>
      </c>
      <c r="E80" s="47">
        <v>18.276350021362305</v>
      </c>
      <c r="G80" s="47">
        <v>75</v>
      </c>
      <c r="H80" s="47">
        <v>6970.6464999999998</v>
      </c>
      <c r="I80" s="47">
        <v>8</v>
      </c>
      <c r="J80" s="47">
        <v>11068.517</v>
      </c>
      <c r="K80" s="47">
        <v>6</v>
      </c>
      <c r="L80" s="47">
        <v>11.14080810546875</v>
      </c>
      <c r="M80" s="47">
        <v>20</v>
      </c>
      <c r="N80" s="49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AG80" s="49"/>
      <c r="AH80" s="49"/>
      <c r="AI80" s="49"/>
      <c r="AJ80" s="49"/>
      <c r="AK80" s="49"/>
      <c r="AL80" s="46">
        <v>59</v>
      </c>
      <c r="AM80" s="46" t="e">
        <f t="shared" si="0"/>
        <v>#NUM!</v>
      </c>
      <c r="AN80" s="46" t="e">
        <f>SUM($AM$22:$AM80)</f>
        <v>#NUM!</v>
      </c>
      <c r="AO80" s="46" t="e">
        <f t="shared" si="1"/>
        <v>#NUM!</v>
      </c>
      <c r="AP80" s="46" t="e">
        <f t="shared" si="2"/>
        <v>#NUM!</v>
      </c>
    </row>
    <row r="81" spans="2:42">
      <c r="B81" s="47">
        <v>8</v>
      </c>
      <c r="C81" s="47">
        <v>7024.0940000000001</v>
      </c>
      <c r="D81" s="47">
        <v>13714.049000000001</v>
      </c>
      <c r="E81" s="47">
        <v>17.767147064208984</v>
      </c>
      <c r="G81" s="47">
        <v>76</v>
      </c>
      <c r="H81" s="47">
        <v>6993.7470000000003</v>
      </c>
      <c r="I81" s="47">
        <v>8</v>
      </c>
      <c r="J81" s="47">
        <v>11069</v>
      </c>
      <c r="K81" s="47">
        <v>20</v>
      </c>
      <c r="L81" s="47">
        <v>11.142857551574707</v>
      </c>
      <c r="M81" s="47">
        <v>20</v>
      </c>
      <c r="N81" s="49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AG81" s="49"/>
      <c r="AH81" s="49"/>
      <c r="AI81" s="49"/>
      <c r="AJ81" s="49"/>
      <c r="AK81" s="49"/>
      <c r="AL81" s="46">
        <v>60</v>
      </c>
      <c r="AM81" s="46" t="e">
        <f t="shared" si="0"/>
        <v>#NUM!</v>
      </c>
      <c r="AN81" s="46" t="e">
        <f>SUM($AM$22:$AM81)</f>
        <v>#NUM!</v>
      </c>
      <c r="AO81" s="46" t="e">
        <f t="shared" si="1"/>
        <v>#NUM!</v>
      </c>
      <c r="AP81" s="46" t="e">
        <f t="shared" si="2"/>
        <v>#NUM!</v>
      </c>
    </row>
    <row r="82" spans="2:42">
      <c r="B82" s="47">
        <v>8</v>
      </c>
      <c r="C82" s="47">
        <v>7874.8905000000004</v>
      </c>
      <c r="D82" s="47">
        <v>13819.703</v>
      </c>
      <c r="E82" s="47">
        <v>18.902776718139648</v>
      </c>
      <c r="G82" s="47">
        <v>77</v>
      </c>
      <c r="H82" s="47">
        <v>7013.6260000000002</v>
      </c>
      <c r="I82" s="47">
        <v>8</v>
      </c>
      <c r="J82" s="47">
        <v>11092.861000000001</v>
      </c>
      <c r="K82" s="47">
        <v>20</v>
      </c>
      <c r="L82" s="47">
        <v>11.17795467376709</v>
      </c>
      <c r="M82" s="47">
        <v>20</v>
      </c>
      <c r="N82" s="49"/>
      <c r="O82" s="49"/>
      <c r="P82" s="49"/>
      <c r="Q82" s="49"/>
      <c r="R82" s="49"/>
      <c r="S82" s="49"/>
      <c r="T82" s="49"/>
      <c r="U82" s="49"/>
      <c r="V82" s="46"/>
      <c r="W82" s="46"/>
      <c r="X82" s="46"/>
      <c r="Y82" s="46"/>
      <c r="AG82" s="49"/>
      <c r="AH82" s="49"/>
      <c r="AI82" s="49"/>
      <c r="AJ82" s="49"/>
      <c r="AK82" s="49"/>
      <c r="AL82" s="46">
        <v>61</v>
      </c>
      <c r="AM82" s="46" t="e">
        <f t="shared" si="0"/>
        <v>#NUM!</v>
      </c>
      <c r="AN82" s="46" t="e">
        <f>SUM($AM$22:$AM82)</f>
        <v>#NUM!</v>
      </c>
      <c r="AO82" s="46" t="e">
        <f t="shared" si="1"/>
        <v>#NUM!</v>
      </c>
      <c r="AP82" s="46" t="e">
        <f t="shared" si="2"/>
        <v>#NUM!</v>
      </c>
    </row>
    <row r="83" spans="2:42">
      <c r="B83" s="47">
        <v>8</v>
      </c>
      <c r="C83" s="47">
        <v>7463.3694999999998</v>
      </c>
      <c r="D83" s="47">
        <v>13394.826999999999</v>
      </c>
      <c r="E83" s="47">
        <v>17.182989120483398</v>
      </c>
      <c r="G83" s="47">
        <v>78</v>
      </c>
      <c r="H83" s="47">
        <v>7017.2205000000004</v>
      </c>
      <c r="I83" s="47">
        <v>8</v>
      </c>
      <c r="J83" s="47">
        <v>11096.716</v>
      </c>
      <c r="K83" s="47">
        <v>20</v>
      </c>
      <c r="L83" s="47">
        <v>11.201815605163574</v>
      </c>
      <c r="M83" s="47">
        <v>18</v>
      </c>
      <c r="N83" s="49"/>
      <c r="O83" s="49"/>
      <c r="P83" s="49"/>
      <c r="Q83" s="49"/>
      <c r="R83" s="49"/>
      <c r="S83" s="49"/>
      <c r="T83" s="49"/>
      <c r="U83" s="49"/>
      <c r="V83" s="46"/>
      <c r="W83" s="46"/>
      <c r="X83" s="46"/>
      <c r="Y83" s="46"/>
      <c r="AG83" s="49"/>
      <c r="AH83" s="49"/>
      <c r="AI83" s="49"/>
      <c r="AJ83" s="49"/>
      <c r="AK83" s="49"/>
      <c r="AL83" s="46">
        <v>62</v>
      </c>
      <c r="AM83" s="46" t="e">
        <f t="shared" si="0"/>
        <v>#NUM!</v>
      </c>
      <c r="AN83" s="46" t="e">
        <f>SUM($AM$22:$AM83)</f>
        <v>#NUM!</v>
      </c>
      <c r="AO83" s="46" t="e">
        <f t="shared" si="1"/>
        <v>#NUM!</v>
      </c>
      <c r="AP83" s="46" t="e">
        <f t="shared" si="2"/>
        <v>#NUM!</v>
      </c>
    </row>
    <row r="84" spans="2:42">
      <c r="B84" s="47">
        <v>8</v>
      </c>
      <c r="C84" s="47">
        <v>7063.8744999999999</v>
      </c>
      <c r="D84" s="47">
        <v>13125.857</v>
      </c>
      <c r="E84" s="47">
        <v>17.01945686340332</v>
      </c>
      <c r="G84" s="47">
        <v>79</v>
      </c>
      <c r="H84" s="47">
        <v>7024.0940000000001</v>
      </c>
      <c r="I84" s="47">
        <v>8</v>
      </c>
      <c r="J84" s="47">
        <v>11101.36</v>
      </c>
      <c r="K84" s="47">
        <v>18</v>
      </c>
      <c r="L84" s="47">
        <v>11.220614433288574</v>
      </c>
      <c r="M84" s="47">
        <v>18</v>
      </c>
      <c r="N84" s="49"/>
      <c r="O84" s="49"/>
      <c r="P84" s="49"/>
      <c r="Q84" s="49"/>
      <c r="R84" s="49"/>
      <c r="S84" s="49"/>
      <c r="T84" s="49"/>
      <c r="U84" s="49"/>
      <c r="V84" s="46"/>
      <c r="W84" s="46"/>
      <c r="X84" s="46"/>
      <c r="Y84" s="46"/>
      <c r="AG84" s="49"/>
      <c r="AH84" s="49"/>
      <c r="AI84" s="49"/>
      <c r="AJ84" s="49"/>
      <c r="AK84" s="49"/>
      <c r="AL84" s="46">
        <v>63</v>
      </c>
      <c r="AM84" s="46" t="e">
        <f t="shared" si="0"/>
        <v>#NUM!</v>
      </c>
      <c r="AN84" s="46" t="e">
        <f>SUM($AM$22:$AM84)</f>
        <v>#NUM!</v>
      </c>
      <c r="AO84" s="46" t="e">
        <f t="shared" si="1"/>
        <v>#NUM!</v>
      </c>
      <c r="AP84" s="46" t="e">
        <f t="shared" si="2"/>
        <v>#NUM!</v>
      </c>
    </row>
    <row r="85" spans="2:42">
      <c r="B85" s="47">
        <v>8</v>
      </c>
      <c r="C85" s="47">
        <v>6870.7105000000001</v>
      </c>
      <c r="D85" s="47">
        <v>13501.972</v>
      </c>
      <c r="E85" s="47">
        <v>16.952043533325195</v>
      </c>
      <c r="G85" s="47">
        <v>80</v>
      </c>
      <c r="H85" s="47">
        <v>7030.7280000000001</v>
      </c>
      <c r="I85" s="47">
        <v>8</v>
      </c>
      <c r="J85" s="47">
        <v>11112.736999999999</v>
      </c>
      <c r="K85" s="47">
        <v>20</v>
      </c>
      <c r="L85" s="47">
        <v>11.244706153869629</v>
      </c>
      <c r="M85" s="47">
        <v>20</v>
      </c>
      <c r="N85" s="49"/>
      <c r="O85" s="52"/>
      <c r="P85" s="52"/>
      <c r="Q85" s="52"/>
      <c r="R85" s="52"/>
      <c r="S85" s="52"/>
      <c r="T85" s="52"/>
      <c r="U85" s="52"/>
      <c r="V85" s="46"/>
      <c r="W85" s="46"/>
      <c r="X85" s="46"/>
      <c r="Y85" s="46"/>
      <c r="AG85" s="49"/>
      <c r="AH85" s="49"/>
      <c r="AI85" s="49"/>
      <c r="AJ85" s="49"/>
      <c r="AK85" s="49"/>
      <c r="AL85" s="46">
        <v>64</v>
      </c>
      <c r="AM85" s="46" t="e">
        <f t="shared" si="0"/>
        <v>#NUM!</v>
      </c>
      <c r="AN85" s="46" t="e">
        <f>SUM($AM$22:$AM85)</f>
        <v>#NUM!</v>
      </c>
      <c r="AO85" s="46" t="e">
        <f t="shared" si="1"/>
        <v>#NUM!</v>
      </c>
      <c r="AP85" s="46" t="e">
        <f t="shared" si="2"/>
        <v>#NUM!</v>
      </c>
    </row>
    <row r="86" spans="2:42">
      <c r="B86" s="47">
        <v>8</v>
      </c>
      <c r="C86" s="47">
        <v>6691.0320000000002</v>
      </c>
      <c r="D86" s="47">
        <v>13145.491</v>
      </c>
      <c r="E86" s="47">
        <v>17.10887336730957</v>
      </c>
      <c r="G86" s="47">
        <v>81</v>
      </c>
      <c r="H86" s="47">
        <v>7041.9669999999996</v>
      </c>
      <c r="I86" s="47">
        <v>8</v>
      </c>
      <c r="J86" s="47">
        <v>11115.236000000001</v>
      </c>
      <c r="K86" s="47">
        <v>18</v>
      </c>
      <c r="L86" s="47">
        <v>11.248252868652344</v>
      </c>
      <c r="M86" s="47">
        <v>20</v>
      </c>
      <c r="N86" s="49"/>
      <c r="O86" s="52"/>
      <c r="P86" s="52"/>
      <c r="Q86" s="52"/>
      <c r="R86" s="52"/>
      <c r="S86" s="52"/>
      <c r="T86" s="52"/>
      <c r="U86" s="52"/>
      <c r="V86" s="46"/>
      <c r="W86" s="46"/>
      <c r="X86" s="46"/>
      <c r="Y86" s="46"/>
      <c r="AG86" s="49"/>
      <c r="AH86" s="49"/>
      <c r="AI86" s="49"/>
      <c r="AJ86" s="49"/>
      <c r="AK86" s="49"/>
      <c r="AL86" s="46">
        <v>65</v>
      </c>
      <c r="AM86" s="46" t="e">
        <f t="shared" si="0"/>
        <v>#NUM!</v>
      </c>
      <c r="AN86" s="46" t="e">
        <f>SUM($AM$22:$AM86)</f>
        <v>#NUM!</v>
      </c>
      <c r="AO86" s="46" t="e">
        <f t="shared" si="1"/>
        <v>#NUM!</v>
      </c>
      <c r="AP86" s="46" t="e">
        <f t="shared" si="2"/>
        <v>#NUM!</v>
      </c>
    </row>
    <row r="87" spans="2:42">
      <c r="B87" s="47">
        <v>8</v>
      </c>
      <c r="C87" s="47">
        <v>6521.8559999999998</v>
      </c>
      <c r="D87" s="47">
        <v>13329.895</v>
      </c>
      <c r="E87" s="47">
        <v>16.588155746459961</v>
      </c>
      <c r="G87" s="47">
        <v>82</v>
      </c>
      <c r="H87" s="47">
        <v>7056.0325000000003</v>
      </c>
      <c r="I87" s="47">
        <v>8</v>
      </c>
      <c r="J87" s="47">
        <v>11118.546</v>
      </c>
      <c r="K87" s="47">
        <v>18</v>
      </c>
      <c r="L87" s="47">
        <v>11.248635292053223</v>
      </c>
      <c r="M87" s="47">
        <v>20</v>
      </c>
      <c r="N87" s="49"/>
      <c r="O87" s="52"/>
      <c r="P87" s="52"/>
      <c r="Q87" s="52"/>
      <c r="R87" s="52"/>
      <c r="S87" s="52"/>
      <c r="T87" s="52"/>
      <c r="U87" s="52"/>
      <c r="V87" s="46"/>
      <c r="W87" s="46"/>
      <c r="X87" s="46"/>
      <c r="Y87" s="46"/>
      <c r="AG87" s="49"/>
      <c r="AH87" s="49"/>
      <c r="AI87" s="49"/>
      <c r="AJ87" s="49"/>
      <c r="AK87" s="49"/>
      <c r="AL87" s="46">
        <v>66</v>
      </c>
      <c r="AM87" s="46" t="e">
        <f t="shared" ref="AM87:AM141" si="3">(FACT(m)/FACT(AL87)/FACT(m-AL87))*(p^AL87)*((1-p)^(m-AL87))</f>
        <v>#NUM!</v>
      </c>
      <c r="AN87" s="46" t="e">
        <f>SUM($AM$22:$AM87)</f>
        <v>#NUM!</v>
      </c>
      <c r="AO87" s="46" t="e">
        <f t="shared" ref="AO87:AO117" si="4">(1-alpha-AN87)/(AN88-AN87)</f>
        <v>#NUM!</v>
      </c>
      <c r="AP87" s="46" t="e">
        <f t="shared" ref="AP87:AP117" si="5">(alpha-AN87)/(AN88-AN87)</f>
        <v>#NUM!</v>
      </c>
    </row>
    <row r="88" spans="2:42">
      <c r="B88" s="47">
        <v>8</v>
      </c>
      <c r="C88" s="47">
        <v>6861.4485000000004</v>
      </c>
      <c r="D88" s="47">
        <v>13433.573</v>
      </c>
      <c r="E88" s="47">
        <v>17.873260498046875</v>
      </c>
      <c r="G88" s="47">
        <v>83</v>
      </c>
      <c r="H88" s="47">
        <v>7063.8744999999999</v>
      </c>
      <c r="I88" s="47">
        <v>8</v>
      </c>
      <c r="J88" s="47">
        <v>11121.617</v>
      </c>
      <c r="K88" s="47">
        <v>6</v>
      </c>
      <c r="L88" s="47">
        <v>11.287103652954102</v>
      </c>
      <c r="M88" s="47">
        <v>20</v>
      </c>
      <c r="N88" s="49"/>
      <c r="O88" s="52"/>
      <c r="P88" s="52"/>
      <c r="Q88" s="52"/>
      <c r="R88" s="52"/>
      <c r="S88" s="52"/>
      <c r="T88" s="52"/>
      <c r="U88" s="52"/>
      <c r="V88" s="46"/>
      <c r="W88" s="46"/>
      <c r="X88" s="46"/>
      <c r="Y88" s="46"/>
      <c r="AG88" s="49"/>
      <c r="AH88" s="49"/>
      <c r="AI88" s="49"/>
      <c r="AJ88" s="49"/>
      <c r="AK88" s="49"/>
      <c r="AL88" s="46">
        <v>67</v>
      </c>
      <c r="AM88" s="46" t="e">
        <f t="shared" si="3"/>
        <v>#NUM!</v>
      </c>
      <c r="AN88" s="46" t="e">
        <f>SUM($AM$22:$AM88)</f>
        <v>#NUM!</v>
      </c>
      <c r="AO88" s="46" t="e">
        <f t="shared" si="4"/>
        <v>#NUM!</v>
      </c>
      <c r="AP88" s="46" t="e">
        <f t="shared" si="5"/>
        <v>#NUM!</v>
      </c>
    </row>
    <row r="89" spans="2:42">
      <c r="B89" s="47">
        <v>8</v>
      </c>
      <c r="C89" s="47">
        <v>7077.6215000000002</v>
      </c>
      <c r="D89" s="47">
        <v>13113.223</v>
      </c>
      <c r="E89" s="47">
        <v>16.95789909362793</v>
      </c>
      <c r="G89" s="47">
        <v>84</v>
      </c>
      <c r="H89" s="47">
        <v>7070.2470000000003</v>
      </c>
      <c r="I89" s="47">
        <v>8</v>
      </c>
      <c r="J89" s="47">
        <v>11130.745999999999</v>
      </c>
      <c r="K89" s="47">
        <v>18</v>
      </c>
      <c r="L89" s="47">
        <v>11.291441917419434</v>
      </c>
      <c r="M89" s="47">
        <v>20</v>
      </c>
      <c r="N89" s="49"/>
      <c r="O89" s="52"/>
      <c r="P89" s="52"/>
      <c r="Q89" s="52"/>
      <c r="R89" s="52"/>
      <c r="S89" s="52"/>
      <c r="T89" s="52"/>
      <c r="U89" s="52"/>
      <c r="V89" s="46"/>
      <c r="W89" s="46"/>
      <c r="X89" s="46"/>
      <c r="Y89" s="46"/>
      <c r="AG89" s="49"/>
      <c r="AH89" s="49"/>
      <c r="AI89" s="49"/>
      <c r="AJ89" s="49"/>
      <c r="AK89" s="49"/>
      <c r="AL89" s="46">
        <v>68</v>
      </c>
      <c r="AM89" s="46" t="e">
        <f t="shared" si="3"/>
        <v>#NUM!</v>
      </c>
      <c r="AN89" s="46" t="e">
        <f>SUM($AM$22:$AM89)</f>
        <v>#NUM!</v>
      </c>
      <c r="AO89" s="46" t="e">
        <f t="shared" si="4"/>
        <v>#NUM!</v>
      </c>
      <c r="AP89" s="46" t="e">
        <f t="shared" si="5"/>
        <v>#NUM!</v>
      </c>
    </row>
    <row r="90" spans="2:42">
      <c r="B90" s="47">
        <v>8</v>
      </c>
      <c r="C90" s="47">
        <v>7070.2470000000003</v>
      </c>
      <c r="D90" s="47">
        <v>13744.11</v>
      </c>
      <c r="E90" s="47">
        <v>17.68333625793457</v>
      </c>
      <c r="G90" s="47">
        <v>85</v>
      </c>
      <c r="H90" s="47">
        <v>7077.6215000000002</v>
      </c>
      <c r="I90" s="47">
        <v>8</v>
      </c>
      <c r="J90" s="47">
        <v>11136.241</v>
      </c>
      <c r="K90" s="47">
        <v>20</v>
      </c>
      <c r="L90" s="47">
        <v>11.302172660827637</v>
      </c>
      <c r="M90" s="47">
        <v>20</v>
      </c>
      <c r="N90" s="49"/>
      <c r="O90" s="52"/>
      <c r="P90" s="52"/>
      <c r="Q90" s="52"/>
      <c r="R90" s="52"/>
      <c r="S90" s="52"/>
      <c r="T90" s="52"/>
      <c r="U90" s="52"/>
      <c r="V90" s="46"/>
      <c r="W90" s="46"/>
      <c r="X90" s="46"/>
      <c r="Y90" s="46"/>
      <c r="AG90" s="49"/>
      <c r="AH90" s="49"/>
      <c r="AI90" s="49"/>
      <c r="AJ90" s="49"/>
      <c r="AK90" s="49"/>
      <c r="AL90" s="46">
        <v>69</v>
      </c>
      <c r="AM90" s="46" t="e">
        <f t="shared" si="3"/>
        <v>#NUM!</v>
      </c>
      <c r="AN90" s="46" t="e">
        <f>SUM($AM$22:$AM90)</f>
        <v>#NUM!</v>
      </c>
      <c r="AO90" s="46" t="e">
        <f t="shared" si="4"/>
        <v>#NUM!</v>
      </c>
      <c r="AP90" s="46" t="e">
        <f t="shared" si="5"/>
        <v>#NUM!</v>
      </c>
    </row>
    <row r="91" spans="2:42">
      <c r="B91" s="47">
        <v>8</v>
      </c>
      <c r="C91" s="47">
        <v>6841.03</v>
      </c>
      <c r="D91" s="47">
        <v>13818.602000000001</v>
      </c>
      <c r="E91" s="47">
        <v>17.27092170715332</v>
      </c>
      <c r="G91" s="47">
        <v>86</v>
      </c>
      <c r="H91" s="47">
        <v>7111.7134999999998</v>
      </c>
      <c r="I91" s="47">
        <v>8</v>
      </c>
      <c r="J91" s="47">
        <v>11142.665000000001</v>
      </c>
      <c r="K91" s="47">
        <v>18</v>
      </c>
      <c r="L91" s="47">
        <v>11.36501407623291</v>
      </c>
      <c r="M91" s="47">
        <v>18</v>
      </c>
      <c r="N91" s="49"/>
      <c r="O91" s="52"/>
      <c r="P91" s="52"/>
      <c r="Q91" s="52"/>
      <c r="R91" s="52"/>
      <c r="S91" s="52"/>
      <c r="T91" s="52"/>
      <c r="U91" s="52"/>
      <c r="V91" s="46"/>
      <c r="W91" s="46"/>
      <c r="X91" s="46"/>
      <c r="Y91" s="46"/>
      <c r="AG91" s="49"/>
      <c r="AH91" s="49"/>
      <c r="AI91" s="49"/>
      <c r="AJ91" s="49"/>
      <c r="AK91" s="49"/>
      <c r="AL91" s="46">
        <v>70</v>
      </c>
      <c r="AM91" s="46" t="e">
        <f t="shared" si="3"/>
        <v>#NUM!</v>
      </c>
      <c r="AN91" s="46" t="e">
        <f>SUM($AM$22:$AM91)</f>
        <v>#NUM!</v>
      </c>
      <c r="AO91" s="46" t="e">
        <f t="shared" si="4"/>
        <v>#NUM!</v>
      </c>
      <c r="AP91" s="46" t="e">
        <f t="shared" si="5"/>
        <v>#NUM!</v>
      </c>
    </row>
    <row r="92" spans="2:42">
      <c r="B92" s="47">
        <v>8</v>
      </c>
      <c r="C92" s="47">
        <v>6861.7155000000002</v>
      </c>
      <c r="D92" s="47">
        <v>13522.259</v>
      </c>
      <c r="E92" s="47">
        <v>17.856847763061523</v>
      </c>
      <c r="G92" s="47">
        <v>87</v>
      </c>
      <c r="H92" s="47">
        <v>7159.4849999999997</v>
      </c>
      <c r="I92" s="47">
        <v>10</v>
      </c>
      <c r="J92" s="47">
        <v>11152.513000000001</v>
      </c>
      <c r="K92" s="47">
        <v>18</v>
      </c>
      <c r="L92" s="47">
        <v>11.381782531738281</v>
      </c>
      <c r="M92" s="47">
        <v>20</v>
      </c>
      <c r="N92" s="49"/>
      <c r="O92" s="52"/>
      <c r="P92" s="52"/>
      <c r="Q92" s="52"/>
      <c r="R92" s="52"/>
      <c r="S92" s="52"/>
      <c r="T92" s="52"/>
      <c r="U92" s="52"/>
      <c r="V92" s="46"/>
      <c r="W92" s="46"/>
      <c r="X92" s="46"/>
      <c r="Y92" s="46"/>
      <c r="AG92" s="49"/>
      <c r="AH92" s="49"/>
      <c r="AI92" s="49"/>
      <c r="AJ92" s="49"/>
      <c r="AK92" s="49"/>
      <c r="AL92" s="46">
        <v>71</v>
      </c>
      <c r="AM92" s="46" t="e">
        <f t="shared" si="3"/>
        <v>#NUM!</v>
      </c>
      <c r="AN92" s="46" t="e">
        <f>SUM($AM$22:$AM92)</f>
        <v>#NUM!</v>
      </c>
      <c r="AO92" s="46" t="e">
        <f t="shared" si="4"/>
        <v>#NUM!</v>
      </c>
      <c r="AP92" s="46" t="e">
        <f t="shared" si="5"/>
        <v>#NUM!</v>
      </c>
    </row>
    <row r="93" spans="2:42">
      <c r="B93" s="47">
        <v>8</v>
      </c>
      <c r="C93" s="47">
        <v>7165.3535000000002</v>
      </c>
      <c r="D93" s="47">
        <v>13727.578</v>
      </c>
      <c r="E93" s="47">
        <v>17.374002456665039</v>
      </c>
      <c r="G93" s="47">
        <v>88</v>
      </c>
      <c r="H93" s="47">
        <v>7165.3535000000002</v>
      </c>
      <c r="I93" s="47">
        <v>8</v>
      </c>
      <c r="J93" s="47">
        <v>11164.696</v>
      </c>
      <c r="K93" s="47">
        <v>16</v>
      </c>
      <c r="L93" s="47">
        <v>11.383501052856445</v>
      </c>
      <c r="M93" s="47">
        <v>20</v>
      </c>
      <c r="N93" s="49"/>
      <c r="O93" s="52"/>
      <c r="P93" s="52"/>
      <c r="Q93" s="52"/>
      <c r="R93" s="52"/>
      <c r="S93" s="52"/>
      <c r="T93" s="52"/>
      <c r="U93" s="52"/>
      <c r="V93" s="46"/>
      <c r="W93" s="46"/>
      <c r="X93" s="46"/>
      <c r="Y93" s="46"/>
      <c r="AG93" s="49"/>
      <c r="AH93" s="49"/>
      <c r="AI93" s="49"/>
      <c r="AJ93" s="49"/>
      <c r="AK93" s="49"/>
      <c r="AL93" s="46">
        <v>72</v>
      </c>
      <c r="AM93" s="46" t="e">
        <f t="shared" si="3"/>
        <v>#NUM!</v>
      </c>
      <c r="AN93" s="46" t="e">
        <f>SUM($AM$22:$AM93)</f>
        <v>#NUM!</v>
      </c>
      <c r="AO93" s="46" t="e">
        <f t="shared" si="4"/>
        <v>#NUM!</v>
      </c>
      <c r="AP93" s="46" t="e">
        <f t="shared" si="5"/>
        <v>#NUM!</v>
      </c>
    </row>
    <row r="94" spans="2:42">
      <c r="B94" s="47">
        <v>8</v>
      </c>
      <c r="C94" s="47">
        <v>6780.6760000000004</v>
      </c>
      <c r="D94" s="47">
        <v>13607.323</v>
      </c>
      <c r="E94" s="47">
        <v>16.901660919189453</v>
      </c>
      <c r="G94" s="47">
        <v>89</v>
      </c>
      <c r="H94" s="47">
        <v>7176.7704999999996</v>
      </c>
      <c r="I94" s="47">
        <v>10</v>
      </c>
      <c r="J94" s="47">
        <v>11165.755999999999</v>
      </c>
      <c r="K94" s="47">
        <v>20</v>
      </c>
      <c r="L94" s="47">
        <v>11.390932083129883</v>
      </c>
      <c r="M94" s="47">
        <v>18</v>
      </c>
      <c r="N94" s="49"/>
      <c r="O94" s="52"/>
      <c r="P94" s="52"/>
      <c r="Q94" s="52"/>
      <c r="R94" s="52"/>
      <c r="S94" s="52"/>
      <c r="T94" s="52"/>
      <c r="U94" s="52"/>
      <c r="V94" s="46"/>
      <c r="W94" s="46"/>
      <c r="X94" s="46"/>
      <c r="Y94" s="46"/>
      <c r="AG94" s="49"/>
      <c r="AH94" s="49"/>
      <c r="AI94" s="49"/>
      <c r="AJ94" s="49"/>
      <c r="AK94" s="49"/>
      <c r="AL94" s="46">
        <v>73</v>
      </c>
      <c r="AM94" s="46" t="e">
        <f t="shared" si="3"/>
        <v>#NUM!</v>
      </c>
      <c r="AN94" s="46" t="e">
        <f>SUM($AM$22:$AM94)</f>
        <v>#NUM!</v>
      </c>
      <c r="AO94" s="46" t="e">
        <f t="shared" si="4"/>
        <v>#NUM!</v>
      </c>
      <c r="AP94" s="46" t="e">
        <f t="shared" si="5"/>
        <v>#NUM!</v>
      </c>
    </row>
    <row r="95" spans="2:42">
      <c r="B95" s="47">
        <v>8</v>
      </c>
      <c r="C95" s="47">
        <v>6970.6464999999998</v>
      </c>
      <c r="D95" s="47">
        <v>13044.25</v>
      </c>
      <c r="E95" s="47">
        <v>16.957950592041016</v>
      </c>
      <c r="G95" s="47">
        <v>90</v>
      </c>
      <c r="H95" s="47">
        <v>7180.4139999999998</v>
      </c>
      <c r="I95" s="47">
        <v>10</v>
      </c>
      <c r="J95" s="47">
        <v>11175.722</v>
      </c>
      <c r="K95" s="47">
        <v>16</v>
      </c>
      <c r="L95" s="47">
        <v>11.39936637878418</v>
      </c>
      <c r="M95" s="47">
        <v>20</v>
      </c>
      <c r="N95" s="49"/>
      <c r="O95" s="52"/>
      <c r="P95" s="52"/>
      <c r="Q95" s="52"/>
      <c r="R95" s="52"/>
      <c r="S95" s="52"/>
      <c r="T95" s="52"/>
      <c r="U95" s="52"/>
      <c r="V95" s="46"/>
      <c r="W95" s="46"/>
      <c r="X95" s="46"/>
      <c r="Y95" s="46"/>
      <c r="AG95" s="49"/>
      <c r="AH95" s="49"/>
      <c r="AI95" s="49"/>
      <c r="AJ95" s="49"/>
      <c r="AK95" s="49"/>
      <c r="AL95" s="46">
        <v>74</v>
      </c>
      <c r="AM95" s="46" t="e">
        <f t="shared" si="3"/>
        <v>#NUM!</v>
      </c>
      <c r="AN95" s="46" t="e">
        <f>SUM($AM$22:$AM95)</f>
        <v>#NUM!</v>
      </c>
      <c r="AO95" s="46" t="e">
        <f t="shared" si="4"/>
        <v>#NUM!</v>
      </c>
      <c r="AP95" s="46" t="e">
        <f t="shared" si="5"/>
        <v>#NUM!</v>
      </c>
    </row>
    <row r="96" spans="2:42">
      <c r="B96" s="47">
        <v>10</v>
      </c>
      <c r="C96" s="47">
        <v>7602.01</v>
      </c>
      <c r="D96" s="47">
        <v>13120.531999999999</v>
      </c>
      <c r="E96" s="47">
        <v>16.993200302124023</v>
      </c>
      <c r="G96" s="47">
        <v>91</v>
      </c>
      <c r="H96" s="47">
        <v>7221.5370000000003</v>
      </c>
      <c r="I96" s="47">
        <v>10</v>
      </c>
      <c r="J96" s="47">
        <v>11178.877</v>
      </c>
      <c r="K96" s="47">
        <v>18</v>
      </c>
      <c r="L96" s="47">
        <v>11.399449348449707</v>
      </c>
      <c r="M96" s="47">
        <v>18</v>
      </c>
      <c r="N96" s="49"/>
      <c r="O96" s="52"/>
      <c r="P96" s="52"/>
      <c r="Q96" s="52"/>
      <c r="R96" s="52"/>
      <c r="S96" s="52"/>
      <c r="T96" s="52"/>
      <c r="U96" s="52"/>
      <c r="V96" s="46"/>
      <c r="W96" s="46"/>
      <c r="X96" s="46"/>
      <c r="Y96" s="46"/>
      <c r="AG96" s="49"/>
      <c r="AH96" s="49"/>
      <c r="AI96" s="49"/>
      <c r="AJ96" s="49"/>
      <c r="AK96" s="49"/>
      <c r="AL96" s="46">
        <v>75</v>
      </c>
      <c r="AM96" s="46" t="e">
        <f t="shared" si="3"/>
        <v>#NUM!</v>
      </c>
      <c r="AN96" s="46" t="e">
        <f>SUM($AM$22:$AM96)</f>
        <v>#NUM!</v>
      </c>
      <c r="AO96" s="46" t="e">
        <f t="shared" si="4"/>
        <v>#NUM!</v>
      </c>
      <c r="AP96" s="46" t="e">
        <f t="shared" si="5"/>
        <v>#NUM!</v>
      </c>
    </row>
    <row r="97" spans="2:42">
      <c r="B97" s="47">
        <v>10</v>
      </c>
      <c r="C97" s="47">
        <v>7821.2430000000004</v>
      </c>
      <c r="D97" s="47">
        <v>13533.677</v>
      </c>
      <c r="E97" s="47">
        <v>17.563262939453125</v>
      </c>
      <c r="G97" s="47">
        <v>92</v>
      </c>
      <c r="H97" s="47">
        <v>7224.3209999999999</v>
      </c>
      <c r="I97" s="47">
        <v>10</v>
      </c>
      <c r="J97" s="47">
        <v>11182.811</v>
      </c>
      <c r="K97" s="47">
        <v>20</v>
      </c>
      <c r="L97" s="47">
        <v>11.418981552124023</v>
      </c>
      <c r="M97" s="47">
        <v>18</v>
      </c>
      <c r="N97" s="49"/>
      <c r="O97" s="52"/>
      <c r="P97" s="52"/>
      <c r="Q97" s="52"/>
      <c r="R97" s="52"/>
      <c r="S97" s="52"/>
      <c r="T97" s="52"/>
      <c r="U97" s="52"/>
      <c r="V97" s="46"/>
      <c r="W97" s="46"/>
      <c r="X97" s="46"/>
      <c r="Y97" s="46"/>
      <c r="AG97" s="49"/>
      <c r="AH97" s="49"/>
      <c r="AI97" s="49"/>
      <c r="AJ97" s="49"/>
      <c r="AK97" s="49"/>
      <c r="AL97" s="46">
        <v>76</v>
      </c>
      <c r="AM97" s="46" t="e">
        <f t="shared" si="3"/>
        <v>#NUM!</v>
      </c>
      <c r="AN97" s="46" t="e">
        <f>SUM($AM$22:$AM97)</f>
        <v>#NUM!</v>
      </c>
      <c r="AO97" s="46" t="e">
        <f t="shared" si="4"/>
        <v>#NUM!</v>
      </c>
      <c r="AP97" s="46" t="e">
        <f t="shared" si="5"/>
        <v>#NUM!</v>
      </c>
    </row>
    <row r="98" spans="2:42">
      <c r="B98" s="47">
        <v>10</v>
      </c>
      <c r="C98" s="47">
        <v>7520.9624999999996</v>
      </c>
      <c r="D98" s="47">
        <v>13927.473</v>
      </c>
      <c r="E98" s="47">
        <v>17.808994293212891</v>
      </c>
      <c r="G98" s="47">
        <v>93</v>
      </c>
      <c r="H98" s="47">
        <v>7228.3959999999997</v>
      </c>
      <c r="I98" s="47">
        <v>10</v>
      </c>
      <c r="J98" s="47">
        <v>11193.681</v>
      </c>
      <c r="K98" s="47">
        <v>18</v>
      </c>
      <c r="L98" s="47">
        <v>11.430893898010254</v>
      </c>
      <c r="M98" s="47">
        <v>18</v>
      </c>
      <c r="N98" s="49"/>
      <c r="O98" s="52"/>
      <c r="P98" s="52"/>
      <c r="Q98" s="52"/>
      <c r="R98" s="52"/>
      <c r="S98" s="52"/>
      <c r="T98" s="52"/>
      <c r="U98" s="52"/>
      <c r="V98" s="46"/>
      <c r="W98" s="46"/>
      <c r="X98" s="46"/>
      <c r="Y98" s="46"/>
      <c r="AG98" s="49"/>
      <c r="AH98" s="49"/>
      <c r="AI98" s="49"/>
      <c r="AJ98" s="49"/>
      <c r="AK98" s="49"/>
      <c r="AL98" s="46">
        <v>77</v>
      </c>
      <c r="AM98" s="46" t="e">
        <f t="shared" si="3"/>
        <v>#NUM!</v>
      </c>
      <c r="AN98" s="46" t="e">
        <f>SUM($AM$22:$AM98)</f>
        <v>#NUM!</v>
      </c>
      <c r="AO98" s="46" t="e">
        <f t="shared" si="4"/>
        <v>#NUM!</v>
      </c>
      <c r="AP98" s="46" t="e">
        <f t="shared" si="5"/>
        <v>#NUM!</v>
      </c>
    </row>
    <row r="99" spans="2:42">
      <c r="B99" s="47">
        <v>10</v>
      </c>
      <c r="C99" s="47">
        <v>7884.8270000000002</v>
      </c>
      <c r="D99" s="47">
        <v>13835.694</v>
      </c>
      <c r="E99" s="47">
        <v>17.235904693603516</v>
      </c>
      <c r="G99" s="47">
        <v>94</v>
      </c>
      <c r="H99" s="47">
        <v>7235.1610000000001</v>
      </c>
      <c r="I99" s="47">
        <v>10</v>
      </c>
      <c r="J99" s="47">
        <v>11195.967000000001</v>
      </c>
      <c r="K99" s="47">
        <v>18</v>
      </c>
      <c r="L99" s="47">
        <v>11.491589546203613</v>
      </c>
      <c r="M99" s="47">
        <v>18</v>
      </c>
      <c r="N99" s="49"/>
      <c r="O99" s="52"/>
      <c r="P99" s="52"/>
      <c r="Q99" s="52"/>
      <c r="R99" s="52"/>
      <c r="S99" s="52"/>
      <c r="T99" s="52"/>
      <c r="U99" s="52"/>
      <c r="V99" s="46"/>
      <c r="W99" s="46"/>
      <c r="X99" s="46"/>
      <c r="Y99" s="46"/>
      <c r="AG99" s="49"/>
      <c r="AH99" s="49"/>
      <c r="AI99" s="49"/>
      <c r="AJ99" s="49"/>
      <c r="AK99" s="49"/>
      <c r="AL99" s="46">
        <v>78</v>
      </c>
      <c r="AM99" s="46" t="e">
        <f t="shared" si="3"/>
        <v>#NUM!</v>
      </c>
      <c r="AN99" s="46" t="e">
        <f>SUM($AM$22:$AM99)</f>
        <v>#NUM!</v>
      </c>
      <c r="AO99" s="46" t="e">
        <f t="shared" si="4"/>
        <v>#NUM!</v>
      </c>
      <c r="AP99" s="46" t="e">
        <f t="shared" si="5"/>
        <v>#NUM!</v>
      </c>
    </row>
    <row r="100" spans="2:42">
      <c r="B100" s="47">
        <v>10</v>
      </c>
      <c r="C100" s="47">
        <v>7249.7434999999996</v>
      </c>
      <c r="D100" s="47">
        <v>13527.37</v>
      </c>
      <c r="E100" s="47">
        <v>17.080522537231445</v>
      </c>
      <c r="G100" s="47">
        <v>95</v>
      </c>
      <c r="H100" s="47">
        <v>7236.11</v>
      </c>
      <c r="I100" s="47">
        <v>12</v>
      </c>
      <c r="J100" s="47">
        <v>11198.43</v>
      </c>
      <c r="K100" s="47">
        <v>20</v>
      </c>
      <c r="L100" s="47">
        <v>11.49229621887207</v>
      </c>
      <c r="M100" s="47">
        <v>18</v>
      </c>
      <c r="N100" s="49"/>
      <c r="O100" s="52"/>
      <c r="P100" s="52"/>
      <c r="Q100" s="52"/>
      <c r="R100" s="52"/>
      <c r="S100" s="52"/>
      <c r="T100" s="52"/>
      <c r="U100" s="52"/>
      <c r="V100" s="46"/>
      <c r="W100" s="46"/>
      <c r="X100" s="46"/>
      <c r="Y100" s="46"/>
      <c r="AG100" s="49"/>
      <c r="AH100" s="49"/>
      <c r="AI100" s="49"/>
      <c r="AJ100" s="49"/>
      <c r="AK100" s="49"/>
      <c r="AL100" s="46">
        <v>79</v>
      </c>
      <c r="AM100" s="46" t="e">
        <f t="shared" si="3"/>
        <v>#NUM!</v>
      </c>
      <c r="AN100" s="46" t="e">
        <f>SUM($AM$22:$AM100)</f>
        <v>#NUM!</v>
      </c>
      <c r="AO100" s="46" t="e">
        <f t="shared" si="4"/>
        <v>#NUM!</v>
      </c>
      <c r="AP100" s="46" t="e">
        <f t="shared" si="5"/>
        <v>#NUM!</v>
      </c>
    </row>
    <row r="101" spans="2:42">
      <c r="B101" s="47">
        <v>10</v>
      </c>
      <c r="C101" s="47">
        <v>7476.1014999999998</v>
      </c>
      <c r="D101" s="47">
        <v>13510.675999999999</v>
      </c>
      <c r="E101" s="47">
        <v>17.713956832885742</v>
      </c>
      <c r="G101" s="47">
        <v>96</v>
      </c>
      <c r="H101" s="47">
        <v>7244.4295000000002</v>
      </c>
      <c r="I101" s="47">
        <v>10</v>
      </c>
      <c r="J101" s="47">
        <v>11203.428</v>
      </c>
      <c r="K101" s="47">
        <v>20</v>
      </c>
      <c r="L101" s="47">
        <v>11.506749153137207</v>
      </c>
      <c r="M101" s="47">
        <v>18</v>
      </c>
      <c r="N101" s="49"/>
      <c r="O101" s="52"/>
      <c r="P101" s="52"/>
      <c r="Q101" s="52"/>
      <c r="R101" s="52"/>
      <c r="S101" s="52"/>
      <c r="T101" s="52"/>
      <c r="U101" s="52"/>
      <c r="V101" s="46"/>
      <c r="W101" s="46"/>
      <c r="X101" s="46"/>
      <c r="Y101" s="46"/>
      <c r="AG101" s="49"/>
      <c r="AH101" s="49"/>
      <c r="AI101" s="49"/>
      <c r="AJ101" s="49"/>
      <c r="AK101" s="49"/>
      <c r="AL101" s="46">
        <v>80</v>
      </c>
      <c r="AM101" s="46" t="e">
        <f t="shared" si="3"/>
        <v>#NUM!</v>
      </c>
      <c r="AN101" s="46" t="e">
        <f>SUM($AM$22:$AM101)</f>
        <v>#NUM!</v>
      </c>
      <c r="AO101" s="46" t="e">
        <f t="shared" si="4"/>
        <v>#NUM!</v>
      </c>
      <c r="AP101" s="46" t="e">
        <f t="shared" si="5"/>
        <v>#NUM!</v>
      </c>
    </row>
    <row r="102" spans="2:42">
      <c r="B102" s="47">
        <v>10</v>
      </c>
      <c r="C102" s="47">
        <v>7481.8190000000004</v>
      </c>
      <c r="D102" s="47">
        <v>14464.554</v>
      </c>
      <c r="E102" s="47">
        <v>17.768043518066406</v>
      </c>
      <c r="G102" s="47">
        <v>97</v>
      </c>
      <c r="H102" s="47">
        <v>7249.7434999999996</v>
      </c>
      <c r="I102" s="47">
        <v>10</v>
      </c>
      <c r="J102" s="47">
        <v>11212.210999999999</v>
      </c>
      <c r="K102" s="47">
        <v>20</v>
      </c>
      <c r="L102" s="47">
        <v>11.569378852844238</v>
      </c>
      <c r="M102" s="47">
        <v>18</v>
      </c>
      <c r="N102" s="49"/>
      <c r="O102" s="52"/>
      <c r="P102" s="52"/>
      <c r="Q102" s="52"/>
      <c r="R102" s="52"/>
      <c r="S102" s="52"/>
      <c r="T102" s="52"/>
      <c r="U102" s="52"/>
      <c r="V102" s="46"/>
      <c r="W102" s="46"/>
      <c r="X102" s="46"/>
      <c r="Y102" s="46"/>
      <c r="AG102" s="49"/>
      <c r="AH102" s="49"/>
      <c r="AI102" s="49"/>
      <c r="AJ102" s="49"/>
      <c r="AK102" s="49"/>
      <c r="AL102" s="46">
        <v>81</v>
      </c>
      <c r="AM102" s="46" t="e">
        <f t="shared" si="3"/>
        <v>#NUM!</v>
      </c>
      <c r="AN102" s="46" t="e">
        <f>SUM($AM$22:$AM102)</f>
        <v>#NUM!</v>
      </c>
      <c r="AO102" s="46" t="e">
        <f t="shared" si="4"/>
        <v>#NUM!</v>
      </c>
      <c r="AP102" s="46" t="e">
        <f t="shared" si="5"/>
        <v>#NUM!</v>
      </c>
    </row>
    <row r="103" spans="2:42">
      <c r="B103" s="47">
        <v>10</v>
      </c>
      <c r="C103" s="47">
        <v>7335.9795000000004</v>
      </c>
      <c r="D103" s="47">
        <v>13300.56</v>
      </c>
      <c r="E103" s="47">
        <v>17.384355545043945</v>
      </c>
      <c r="G103" s="47">
        <v>98</v>
      </c>
      <c r="H103" s="47">
        <v>7259.4444999999996</v>
      </c>
      <c r="I103" s="47">
        <v>10</v>
      </c>
      <c r="J103" s="47">
        <v>11222.189</v>
      </c>
      <c r="K103" s="47">
        <v>18</v>
      </c>
      <c r="L103" s="47">
        <v>11.585018157958984</v>
      </c>
      <c r="M103" s="47">
        <v>16</v>
      </c>
      <c r="N103" s="49"/>
      <c r="O103" s="52"/>
      <c r="P103" s="52"/>
      <c r="Q103" s="52"/>
      <c r="R103" s="52"/>
      <c r="S103" s="52"/>
      <c r="T103" s="52"/>
      <c r="U103" s="52"/>
      <c r="V103" s="46"/>
      <c r="W103" s="46"/>
      <c r="X103" s="46"/>
      <c r="Y103" s="46"/>
      <c r="AG103" s="49"/>
      <c r="AH103" s="49"/>
      <c r="AI103" s="49"/>
      <c r="AJ103" s="49"/>
      <c r="AK103" s="49"/>
      <c r="AL103" s="46">
        <v>82</v>
      </c>
      <c r="AM103" s="46" t="e">
        <f t="shared" si="3"/>
        <v>#NUM!</v>
      </c>
      <c r="AN103" s="46" t="e">
        <f>SUM($AM$22:$AM103)</f>
        <v>#NUM!</v>
      </c>
      <c r="AO103" s="46" t="e">
        <f t="shared" si="4"/>
        <v>#NUM!</v>
      </c>
      <c r="AP103" s="46" t="e">
        <f t="shared" si="5"/>
        <v>#NUM!</v>
      </c>
    </row>
    <row r="104" spans="2:42">
      <c r="B104" s="47">
        <v>10</v>
      </c>
      <c r="C104" s="47">
        <v>7442.1954999999998</v>
      </c>
      <c r="D104" s="47">
        <v>13816.027</v>
      </c>
      <c r="E104" s="47">
        <v>17.318729400634766</v>
      </c>
      <c r="G104" s="47">
        <v>99</v>
      </c>
      <c r="H104" s="47">
        <v>7289.4894999999997</v>
      </c>
      <c r="I104" s="47">
        <v>8</v>
      </c>
      <c r="J104" s="47">
        <v>11223.037</v>
      </c>
      <c r="K104" s="47">
        <v>20</v>
      </c>
      <c r="L104" s="47">
        <v>11.588923454284668</v>
      </c>
      <c r="M104" s="47">
        <v>18</v>
      </c>
      <c r="N104" s="49"/>
      <c r="O104" s="52"/>
      <c r="P104" s="52"/>
      <c r="Q104" s="52"/>
      <c r="R104" s="52"/>
      <c r="S104" s="52"/>
      <c r="T104" s="52"/>
      <c r="U104" s="52"/>
      <c r="V104" s="46"/>
      <c r="W104" s="46"/>
      <c r="X104" s="46"/>
      <c r="Y104" s="46"/>
      <c r="AG104" s="49"/>
      <c r="AH104" s="49"/>
      <c r="AI104" s="49"/>
      <c r="AJ104" s="49"/>
      <c r="AK104" s="49"/>
      <c r="AL104" s="46">
        <v>83</v>
      </c>
      <c r="AM104" s="46" t="e">
        <f t="shared" si="3"/>
        <v>#NUM!</v>
      </c>
      <c r="AN104" s="46" t="e">
        <f>SUM($AM$22:$AM104)</f>
        <v>#NUM!</v>
      </c>
      <c r="AO104" s="46" t="e">
        <f t="shared" si="4"/>
        <v>#NUM!</v>
      </c>
      <c r="AP104" s="46" t="e">
        <f t="shared" si="5"/>
        <v>#NUM!</v>
      </c>
    </row>
    <row r="105" spans="2:42">
      <c r="B105" s="47">
        <v>10</v>
      </c>
      <c r="C105" s="47">
        <v>7558.4939999999997</v>
      </c>
      <c r="D105" s="47">
        <v>13838.075000000001</v>
      </c>
      <c r="E105" s="47">
        <v>17.651998519897461</v>
      </c>
      <c r="G105" s="47">
        <v>100</v>
      </c>
      <c r="H105" s="47">
        <v>7291.5950000000003</v>
      </c>
      <c r="I105" s="47">
        <v>12</v>
      </c>
      <c r="J105" s="47">
        <v>11227.407999999999</v>
      </c>
      <c r="K105" s="47">
        <v>18</v>
      </c>
      <c r="L105" s="47">
        <v>11.631763458251953</v>
      </c>
      <c r="M105" s="47">
        <v>20</v>
      </c>
      <c r="N105" s="49"/>
      <c r="O105" s="52"/>
      <c r="P105" s="52"/>
      <c r="Q105" s="52"/>
      <c r="R105" s="52"/>
      <c r="S105" s="52"/>
      <c r="T105" s="52"/>
      <c r="U105" s="52"/>
      <c r="V105" s="46"/>
      <c r="W105" s="46"/>
      <c r="X105" s="46"/>
      <c r="Y105" s="46"/>
      <c r="AG105" s="49"/>
      <c r="AH105" s="49"/>
      <c r="AI105" s="49"/>
      <c r="AJ105" s="49"/>
      <c r="AK105" s="49"/>
      <c r="AL105" s="46">
        <v>84</v>
      </c>
      <c r="AM105" s="46" t="e">
        <f t="shared" si="3"/>
        <v>#NUM!</v>
      </c>
      <c r="AN105" s="46" t="e">
        <f>SUM($AM$22:$AM105)</f>
        <v>#NUM!</v>
      </c>
      <c r="AO105" s="46" t="e">
        <f t="shared" si="4"/>
        <v>#NUM!</v>
      </c>
      <c r="AP105" s="46" t="e">
        <f t="shared" si="5"/>
        <v>#NUM!</v>
      </c>
    </row>
    <row r="106" spans="2:42">
      <c r="B106" s="47">
        <v>10</v>
      </c>
      <c r="C106" s="47">
        <v>7492.2110000000002</v>
      </c>
      <c r="D106" s="47">
        <v>13789.163</v>
      </c>
      <c r="E106" s="47">
        <v>17.201421737670898</v>
      </c>
      <c r="G106" s="47">
        <v>101</v>
      </c>
      <c r="H106" s="47">
        <v>7307.6629999999996</v>
      </c>
      <c r="I106" s="47">
        <v>10</v>
      </c>
      <c r="J106" s="47">
        <v>11243.501</v>
      </c>
      <c r="K106" s="47">
        <v>20</v>
      </c>
      <c r="L106" s="47">
        <v>11.633013725280762</v>
      </c>
      <c r="M106" s="47">
        <v>18</v>
      </c>
      <c r="N106" s="49"/>
      <c r="O106" s="52"/>
      <c r="P106" s="52"/>
      <c r="Q106" s="52"/>
      <c r="R106" s="52"/>
      <c r="S106" s="52"/>
      <c r="T106" s="52"/>
      <c r="U106" s="52"/>
      <c r="V106" s="46"/>
      <c r="W106" s="46"/>
      <c r="X106" s="46"/>
      <c r="Y106" s="46"/>
      <c r="AG106" s="49"/>
      <c r="AH106" s="49"/>
      <c r="AI106" s="49"/>
      <c r="AJ106" s="49"/>
      <c r="AK106" s="49"/>
      <c r="AL106" s="46">
        <v>85</v>
      </c>
      <c r="AM106" s="46" t="e">
        <f t="shared" si="3"/>
        <v>#NUM!</v>
      </c>
      <c r="AN106" s="46" t="e">
        <f>SUM($AM$22:$AM106)</f>
        <v>#NUM!</v>
      </c>
      <c r="AO106" s="46" t="e">
        <f t="shared" si="4"/>
        <v>#NUM!</v>
      </c>
      <c r="AP106" s="46" t="e">
        <f t="shared" si="5"/>
        <v>#NUM!</v>
      </c>
    </row>
    <row r="107" spans="2:42">
      <c r="B107" s="47">
        <v>10</v>
      </c>
      <c r="C107" s="47">
        <v>7455.1854999999996</v>
      </c>
      <c r="D107" s="47">
        <v>14229.653</v>
      </c>
      <c r="E107" s="47">
        <v>17.664535522460938</v>
      </c>
      <c r="G107" s="47">
        <v>102</v>
      </c>
      <c r="H107" s="47">
        <v>7327.08</v>
      </c>
      <c r="I107" s="47">
        <v>10</v>
      </c>
      <c r="J107" s="47">
        <v>11244.69</v>
      </c>
      <c r="K107" s="47">
        <v>18</v>
      </c>
      <c r="L107" s="47">
        <v>11.655497550964355</v>
      </c>
      <c r="M107" s="47">
        <v>20</v>
      </c>
      <c r="N107" s="49"/>
      <c r="O107" s="52"/>
      <c r="P107" s="52"/>
      <c r="Q107" s="52"/>
      <c r="R107" s="52"/>
      <c r="S107" s="52"/>
      <c r="T107" s="52"/>
      <c r="U107" s="52"/>
      <c r="V107" s="46"/>
      <c r="W107" s="46"/>
      <c r="X107" s="46"/>
      <c r="Y107" s="46"/>
      <c r="AG107" s="49"/>
      <c r="AH107" s="49"/>
      <c r="AI107" s="49"/>
      <c r="AJ107" s="49"/>
      <c r="AK107" s="49"/>
      <c r="AL107" s="46">
        <v>86</v>
      </c>
      <c r="AM107" s="46" t="e">
        <f t="shared" si="3"/>
        <v>#NUM!</v>
      </c>
      <c r="AN107" s="46" t="e">
        <f>SUM($AM$22:$AM107)</f>
        <v>#NUM!</v>
      </c>
      <c r="AO107" s="46" t="e">
        <f t="shared" si="4"/>
        <v>#NUM!</v>
      </c>
      <c r="AP107" s="46" t="e">
        <f t="shared" si="5"/>
        <v>#NUM!</v>
      </c>
    </row>
    <row r="108" spans="2:42">
      <c r="B108" s="47">
        <v>10</v>
      </c>
      <c r="C108" s="47">
        <v>7702.5460000000003</v>
      </c>
      <c r="D108" s="47">
        <v>13600.001</v>
      </c>
      <c r="E108" s="47">
        <v>17.25505256652832</v>
      </c>
      <c r="G108" s="47">
        <v>103</v>
      </c>
      <c r="H108" s="47">
        <v>7335.9795000000004</v>
      </c>
      <c r="I108" s="47">
        <v>10</v>
      </c>
      <c r="J108" s="47">
        <v>11245.949000000001</v>
      </c>
      <c r="K108" s="47">
        <v>16</v>
      </c>
      <c r="L108" s="47">
        <v>11.66466236114502</v>
      </c>
      <c r="M108" s="47">
        <v>20</v>
      </c>
      <c r="N108" s="49"/>
      <c r="O108" s="52"/>
      <c r="P108" s="52"/>
      <c r="Q108" s="52"/>
      <c r="R108" s="52"/>
      <c r="S108" s="52"/>
      <c r="T108" s="52"/>
      <c r="U108" s="52"/>
      <c r="V108" s="46"/>
      <c r="W108" s="46"/>
      <c r="X108" s="46"/>
      <c r="Y108" s="46"/>
      <c r="AG108" s="49"/>
      <c r="AH108" s="49"/>
      <c r="AI108" s="49"/>
      <c r="AJ108" s="49"/>
      <c r="AK108" s="49"/>
      <c r="AL108" s="46">
        <v>87</v>
      </c>
      <c r="AM108" s="46" t="e">
        <f t="shared" si="3"/>
        <v>#NUM!</v>
      </c>
      <c r="AN108" s="46" t="e">
        <f>SUM($AM$22:$AM108)</f>
        <v>#NUM!</v>
      </c>
      <c r="AO108" s="46" t="e">
        <f t="shared" si="4"/>
        <v>#NUM!</v>
      </c>
      <c r="AP108" s="46" t="e">
        <f t="shared" si="5"/>
        <v>#NUM!</v>
      </c>
    </row>
    <row r="109" spans="2:42">
      <c r="B109" s="47">
        <v>10</v>
      </c>
      <c r="C109" s="47">
        <v>7224.3209999999999</v>
      </c>
      <c r="D109" s="47">
        <v>13804.867</v>
      </c>
      <c r="E109" s="47">
        <v>17.689922332763672</v>
      </c>
      <c r="G109" s="47">
        <v>104</v>
      </c>
      <c r="H109" s="47">
        <v>7353.2785000000003</v>
      </c>
      <c r="I109" s="47">
        <v>10</v>
      </c>
      <c r="J109" s="47">
        <v>11252.272000000001</v>
      </c>
      <c r="K109" s="47">
        <v>20</v>
      </c>
      <c r="L109" s="47">
        <v>11.728519439697266</v>
      </c>
      <c r="M109" s="47">
        <v>18</v>
      </c>
      <c r="N109" s="49"/>
      <c r="O109" s="52"/>
      <c r="P109" s="52"/>
      <c r="Q109" s="52"/>
      <c r="R109" s="52"/>
      <c r="S109" s="52"/>
      <c r="T109" s="52"/>
      <c r="U109" s="52"/>
      <c r="V109" s="46"/>
      <c r="W109" s="46"/>
      <c r="X109" s="46"/>
      <c r="Y109" s="46"/>
      <c r="AG109" s="49"/>
      <c r="AH109" s="49"/>
      <c r="AI109" s="49"/>
      <c r="AJ109" s="49"/>
      <c r="AK109" s="49"/>
      <c r="AL109" s="46">
        <v>88</v>
      </c>
      <c r="AM109" s="46" t="e">
        <f t="shared" si="3"/>
        <v>#NUM!</v>
      </c>
      <c r="AN109" s="46" t="e">
        <f>SUM($AM$22:$AM109)</f>
        <v>#NUM!</v>
      </c>
      <c r="AO109" s="46" t="e">
        <f t="shared" si="4"/>
        <v>#NUM!</v>
      </c>
      <c r="AP109" s="46" t="e">
        <f t="shared" si="5"/>
        <v>#NUM!</v>
      </c>
    </row>
    <row r="110" spans="2:42">
      <c r="B110" s="47">
        <v>10</v>
      </c>
      <c r="C110" s="47">
        <v>7463.2389999999996</v>
      </c>
      <c r="D110" s="47">
        <v>13446.499</v>
      </c>
      <c r="E110" s="47">
        <v>16.984586715698242</v>
      </c>
      <c r="G110" s="47">
        <v>105</v>
      </c>
      <c r="H110" s="47">
        <v>7374.7264999999998</v>
      </c>
      <c r="I110" s="47">
        <v>12</v>
      </c>
      <c r="J110" s="47">
        <v>11254.064</v>
      </c>
      <c r="K110" s="47">
        <v>18</v>
      </c>
      <c r="L110" s="47">
        <v>11.764962196350098</v>
      </c>
      <c r="M110" s="47">
        <v>20</v>
      </c>
      <c r="N110" s="49"/>
      <c r="O110" s="52"/>
      <c r="P110" s="52"/>
      <c r="Q110" s="52"/>
      <c r="R110" s="52"/>
      <c r="S110" s="52"/>
      <c r="T110" s="52"/>
      <c r="U110" s="52"/>
      <c r="V110" s="46"/>
      <c r="W110" s="46"/>
      <c r="X110" s="46"/>
      <c r="Y110" s="46"/>
      <c r="AG110" s="49"/>
      <c r="AH110" s="49"/>
      <c r="AI110" s="49"/>
      <c r="AJ110" s="49"/>
      <c r="AK110" s="49"/>
      <c r="AL110" s="46">
        <v>89</v>
      </c>
      <c r="AM110" s="46" t="e">
        <f t="shared" si="3"/>
        <v>#NUM!</v>
      </c>
      <c r="AN110" s="46" t="e">
        <f>SUM($AM$22:$AM110)</f>
        <v>#NUM!</v>
      </c>
      <c r="AO110" s="46" t="e">
        <f t="shared" si="4"/>
        <v>#NUM!</v>
      </c>
      <c r="AP110" s="46" t="e">
        <f t="shared" si="5"/>
        <v>#NUM!</v>
      </c>
    </row>
    <row r="111" spans="2:42">
      <c r="B111" s="47">
        <v>10</v>
      </c>
      <c r="C111" s="47">
        <v>7419.7494999999999</v>
      </c>
      <c r="D111" s="47">
        <v>13537.263000000001</v>
      </c>
      <c r="E111" s="47">
        <v>17.165506362915039</v>
      </c>
      <c r="G111" s="47">
        <v>106</v>
      </c>
      <c r="H111" s="47">
        <v>7376.8654999999999</v>
      </c>
      <c r="I111" s="47">
        <v>12</v>
      </c>
      <c r="J111" s="47">
        <v>11254.12</v>
      </c>
      <c r="K111" s="47">
        <v>20</v>
      </c>
      <c r="L111" s="47">
        <v>11.76596736907959</v>
      </c>
      <c r="M111" s="47">
        <v>20</v>
      </c>
      <c r="N111" s="49"/>
      <c r="O111" s="49"/>
      <c r="P111" s="49"/>
      <c r="Q111" s="49"/>
      <c r="R111" s="49"/>
      <c r="S111" s="49"/>
      <c r="T111" s="49"/>
      <c r="U111" s="49"/>
      <c r="V111" s="46"/>
      <c r="W111" s="46"/>
      <c r="X111" s="46"/>
      <c r="Y111" s="46"/>
      <c r="AG111" s="49"/>
      <c r="AH111" s="49"/>
      <c r="AI111" s="49"/>
      <c r="AJ111" s="49"/>
      <c r="AK111" s="49"/>
      <c r="AL111" s="46">
        <v>90</v>
      </c>
      <c r="AM111" s="46" t="e">
        <f t="shared" si="3"/>
        <v>#NUM!</v>
      </c>
      <c r="AN111" s="46" t="e">
        <f>SUM($AM$22:$AM111)</f>
        <v>#NUM!</v>
      </c>
      <c r="AO111" s="46" t="e">
        <f t="shared" si="4"/>
        <v>#NUM!</v>
      </c>
      <c r="AP111" s="46" t="e">
        <f t="shared" si="5"/>
        <v>#NUM!</v>
      </c>
    </row>
    <row r="112" spans="2:42">
      <c r="B112" s="47">
        <v>10</v>
      </c>
      <c r="C112" s="47">
        <v>7444.4849999999997</v>
      </c>
      <c r="D112" s="47">
        <v>13871.127</v>
      </c>
      <c r="E112" s="47">
        <v>17.353500366210938</v>
      </c>
      <c r="G112" s="47">
        <v>107</v>
      </c>
      <c r="H112" s="47">
        <v>7394.4885000000004</v>
      </c>
      <c r="I112" s="47">
        <v>10</v>
      </c>
      <c r="J112" s="47">
        <v>11265.599</v>
      </c>
      <c r="K112" s="47">
        <v>20</v>
      </c>
      <c r="L112" s="47">
        <v>11.783818244934082</v>
      </c>
      <c r="M112" s="47">
        <v>18</v>
      </c>
      <c r="N112" s="49"/>
      <c r="O112" s="49"/>
      <c r="P112" s="49"/>
      <c r="Q112" s="49"/>
      <c r="R112" s="49"/>
      <c r="S112" s="49"/>
      <c r="T112" s="49"/>
      <c r="U112" s="49"/>
      <c r="V112" s="46"/>
      <c r="W112" s="46"/>
      <c r="X112" s="46"/>
      <c r="Y112" s="46"/>
      <c r="AG112" s="49"/>
      <c r="AH112" s="49"/>
      <c r="AI112" s="49"/>
      <c r="AJ112" s="49"/>
      <c r="AK112" s="49"/>
      <c r="AL112" s="46">
        <v>91</v>
      </c>
      <c r="AM112" s="46" t="e">
        <f t="shared" si="3"/>
        <v>#NUM!</v>
      </c>
      <c r="AN112" s="46" t="e">
        <f>SUM($AM$22:$AM112)</f>
        <v>#NUM!</v>
      </c>
      <c r="AO112" s="46" t="e">
        <f t="shared" si="4"/>
        <v>#NUM!</v>
      </c>
      <c r="AP112" s="46" t="e">
        <f t="shared" si="5"/>
        <v>#NUM!</v>
      </c>
    </row>
    <row r="113" spans="2:42">
      <c r="B113" s="47">
        <v>10</v>
      </c>
      <c r="C113" s="47">
        <v>7571.8869999999997</v>
      </c>
      <c r="D113" s="47">
        <v>12987.885</v>
      </c>
      <c r="E113" s="47">
        <v>17.068939208984375</v>
      </c>
      <c r="G113" s="47">
        <v>108</v>
      </c>
      <c r="H113" s="47">
        <v>7397.9525000000003</v>
      </c>
      <c r="I113" s="47">
        <v>14</v>
      </c>
      <c r="J113" s="47">
        <v>11266.5</v>
      </c>
      <c r="K113" s="47">
        <v>20</v>
      </c>
      <c r="L113" s="47">
        <v>11.787068367004395</v>
      </c>
      <c r="M113" s="47">
        <v>20</v>
      </c>
      <c r="N113" s="49"/>
      <c r="O113" s="49"/>
      <c r="P113" s="49"/>
      <c r="Q113" s="49"/>
      <c r="R113" s="49"/>
      <c r="S113" s="49"/>
      <c r="T113" s="49"/>
      <c r="U113" s="49"/>
      <c r="V113" s="46"/>
      <c r="W113" s="46"/>
      <c r="X113" s="46"/>
      <c r="Y113" s="46"/>
      <c r="AG113" s="49"/>
      <c r="AH113" s="49"/>
      <c r="AI113" s="49"/>
      <c r="AJ113" s="49"/>
      <c r="AK113" s="49"/>
      <c r="AL113" s="46">
        <v>92</v>
      </c>
      <c r="AM113" s="46" t="e">
        <f t="shared" si="3"/>
        <v>#NUM!</v>
      </c>
      <c r="AN113" s="46" t="e">
        <f>SUM($AM$22:$AM113)</f>
        <v>#NUM!</v>
      </c>
      <c r="AO113" s="46" t="e">
        <f t="shared" si="4"/>
        <v>#NUM!</v>
      </c>
      <c r="AP113" s="46" t="e">
        <f t="shared" si="5"/>
        <v>#NUM!</v>
      </c>
    </row>
    <row r="114" spans="2:42">
      <c r="B114" s="47">
        <v>10</v>
      </c>
      <c r="C114" s="47">
        <v>7506.7759999999998</v>
      </c>
      <c r="D114" s="47">
        <v>13928.281999999999</v>
      </c>
      <c r="E114" s="47">
        <v>17.110382080078125</v>
      </c>
      <c r="G114" s="47">
        <v>109</v>
      </c>
      <c r="H114" s="47">
        <v>7419.7494999999999</v>
      </c>
      <c r="I114" s="47">
        <v>10</v>
      </c>
      <c r="J114" s="47">
        <v>11274.84</v>
      </c>
      <c r="K114" s="47">
        <v>6</v>
      </c>
      <c r="L114" s="47">
        <v>11.792746543884277</v>
      </c>
      <c r="M114" s="47">
        <v>20</v>
      </c>
      <c r="N114" s="49"/>
      <c r="O114" s="49"/>
      <c r="P114" s="49"/>
      <c r="Q114" s="49"/>
      <c r="R114" s="49"/>
      <c r="S114" s="49"/>
      <c r="T114" s="49"/>
      <c r="U114" s="49"/>
      <c r="V114" s="46"/>
      <c r="W114" s="46"/>
      <c r="X114" s="46"/>
      <c r="Y114" s="46"/>
      <c r="AG114" s="49"/>
      <c r="AH114" s="49"/>
      <c r="AI114" s="49"/>
      <c r="AJ114" s="49"/>
      <c r="AK114" s="49"/>
      <c r="AL114" s="46">
        <v>93</v>
      </c>
      <c r="AM114" s="46" t="e">
        <f t="shared" si="3"/>
        <v>#NUM!</v>
      </c>
      <c r="AN114" s="46" t="e">
        <f>SUM($AM$22:$AM114)</f>
        <v>#NUM!</v>
      </c>
      <c r="AO114" s="46" t="e">
        <f t="shared" si="4"/>
        <v>#NUM!</v>
      </c>
      <c r="AP114" s="46" t="e">
        <f t="shared" si="5"/>
        <v>#NUM!</v>
      </c>
    </row>
    <row r="115" spans="2:42">
      <c r="B115" s="47">
        <v>10</v>
      </c>
      <c r="C115" s="47">
        <v>7864.0744999999997</v>
      </c>
      <c r="D115" s="47">
        <v>13905.437</v>
      </c>
      <c r="E115" s="47">
        <v>17.305644989013672</v>
      </c>
      <c r="G115" s="47">
        <v>110</v>
      </c>
      <c r="H115" s="47">
        <v>7420.5619999999999</v>
      </c>
      <c r="I115" s="47">
        <v>10</v>
      </c>
      <c r="J115" s="47">
        <v>11275.379000000001</v>
      </c>
      <c r="K115" s="47">
        <v>16</v>
      </c>
      <c r="L115" s="47">
        <v>11.818963050842285</v>
      </c>
      <c r="M115" s="47">
        <v>20</v>
      </c>
      <c r="N115" s="49"/>
      <c r="O115" s="49"/>
      <c r="P115" s="49"/>
      <c r="Q115" s="49"/>
      <c r="R115" s="49"/>
      <c r="S115" s="49"/>
      <c r="T115" s="49"/>
      <c r="U115" s="49"/>
      <c r="V115" s="46"/>
      <c r="W115" s="46"/>
      <c r="X115" s="46"/>
      <c r="Y115" s="46"/>
      <c r="AG115" s="49"/>
      <c r="AH115" s="49"/>
      <c r="AI115" s="49"/>
      <c r="AJ115" s="49"/>
      <c r="AK115" s="49"/>
      <c r="AL115" s="46">
        <v>94</v>
      </c>
      <c r="AM115" s="46" t="e">
        <f t="shared" si="3"/>
        <v>#NUM!</v>
      </c>
      <c r="AN115" s="46" t="e">
        <f>SUM($AM$22:$AM115)</f>
        <v>#NUM!</v>
      </c>
      <c r="AO115" s="46" t="e">
        <f t="shared" si="4"/>
        <v>#NUM!</v>
      </c>
      <c r="AP115" s="46" t="e">
        <f t="shared" si="5"/>
        <v>#NUM!</v>
      </c>
    </row>
    <row r="116" spans="2:42">
      <c r="B116" s="47">
        <v>10</v>
      </c>
      <c r="C116" s="47">
        <v>7436.7775000000001</v>
      </c>
      <c r="D116" s="47">
        <v>13709.989</v>
      </c>
      <c r="E116" s="47">
        <v>17.51746940612793</v>
      </c>
      <c r="G116" s="47">
        <v>111</v>
      </c>
      <c r="H116" s="47">
        <v>7422.2939999999999</v>
      </c>
      <c r="I116" s="47">
        <v>10</v>
      </c>
      <c r="J116" s="47">
        <v>11277.529</v>
      </c>
      <c r="K116" s="47">
        <v>18</v>
      </c>
      <c r="L116" s="47">
        <v>11.840177536010742</v>
      </c>
      <c r="M116" s="47">
        <v>18</v>
      </c>
      <c r="N116" s="49"/>
      <c r="O116" s="49"/>
      <c r="P116" s="49"/>
      <c r="Q116" s="49"/>
      <c r="R116" s="49"/>
      <c r="S116" s="49"/>
      <c r="T116" s="49"/>
      <c r="U116" s="49"/>
      <c r="V116" s="46"/>
      <c r="W116" s="46"/>
      <c r="X116" s="46"/>
      <c r="Y116" s="46"/>
      <c r="AG116" s="49"/>
      <c r="AH116" s="49"/>
      <c r="AI116" s="49"/>
      <c r="AJ116" s="49"/>
      <c r="AK116" s="49"/>
      <c r="AL116" s="46">
        <v>95</v>
      </c>
      <c r="AM116" s="46" t="e">
        <f t="shared" si="3"/>
        <v>#NUM!</v>
      </c>
      <c r="AN116" s="46" t="e">
        <f>SUM($AM$22:$AM116)</f>
        <v>#NUM!</v>
      </c>
      <c r="AO116" s="46" t="e">
        <f t="shared" si="4"/>
        <v>#NUM!</v>
      </c>
      <c r="AP116" s="46" t="e">
        <f t="shared" si="5"/>
        <v>#NUM!</v>
      </c>
    </row>
    <row r="117" spans="2:42">
      <c r="B117" s="47">
        <v>10</v>
      </c>
      <c r="C117" s="47">
        <v>7307.6629999999996</v>
      </c>
      <c r="D117" s="47">
        <v>14229.489</v>
      </c>
      <c r="E117" s="47">
        <v>17.976537704467773</v>
      </c>
      <c r="G117" s="47">
        <v>112</v>
      </c>
      <c r="H117" s="47">
        <v>7423.6504999999997</v>
      </c>
      <c r="I117" s="47">
        <v>12</v>
      </c>
      <c r="J117" s="47">
        <v>11279.358</v>
      </c>
      <c r="K117" s="47">
        <v>20</v>
      </c>
      <c r="L117" s="47">
        <v>11.857151031494141</v>
      </c>
      <c r="M117" s="47">
        <v>16</v>
      </c>
      <c r="N117" s="49"/>
      <c r="O117" s="49"/>
      <c r="P117" s="49"/>
      <c r="Q117" s="49"/>
      <c r="R117" s="49"/>
      <c r="S117" s="49"/>
      <c r="T117" s="49"/>
      <c r="U117" s="49"/>
      <c r="V117" s="46"/>
      <c r="W117" s="46"/>
      <c r="X117" s="46"/>
      <c r="Y117" s="46"/>
      <c r="AG117" s="49"/>
      <c r="AH117" s="49"/>
      <c r="AI117" s="49"/>
      <c r="AJ117" s="49"/>
      <c r="AK117" s="49"/>
      <c r="AL117" s="46">
        <v>96</v>
      </c>
      <c r="AM117" s="46" t="e">
        <f t="shared" si="3"/>
        <v>#NUM!</v>
      </c>
      <c r="AN117" s="46" t="e">
        <f>SUM($AM$22:$AM117)</f>
        <v>#NUM!</v>
      </c>
      <c r="AO117" s="46" t="e">
        <f t="shared" si="4"/>
        <v>#NUM!</v>
      </c>
      <c r="AP117" s="46" t="e">
        <f t="shared" si="5"/>
        <v>#NUM!</v>
      </c>
    </row>
    <row r="118" spans="2:42">
      <c r="B118" s="47">
        <v>10</v>
      </c>
      <c r="C118" s="47">
        <v>7441.2929999999997</v>
      </c>
      <c r="D118" s="47">
        <v>14321.838</v>
      </c>
      <c r="E118" s="47">
        <v>17.557685852050781</v>
      </c>
      <c r="G118" s="47">
        <v>113</v>
      </c>
      <c r="H118" s="47">
        <v>7424.4705000000004</v>
      </c>
      <c r="I118" s="47">
        <v>10</v>
      </c>
      <c r="J118" s="47">
        <v>11283.663</v>
      </c>
      <c r="K118" s="47">
        <v>20</v>
      </c>
      <c r="L118" s="47">
        <v>11.862974166870117</v>
      </c>
      <c r="M118" s="47">
        <v>18</v>
      </c>
      <c r="N118" s="49"/>
      <c r="O118" s="49"/>
      <c r="P118" s="49"/>
      <c r="Q118" s="49"/>
      <c r="R118" s="49"/>
      <c r="S118" s="49"/>
      <c r="T118" s="49"/>
      <c r="U118" s="49"/>
      <c r="V118" s="46"/>
      <c r="W118" s="46"/>
      <c r="X118" s="46"/>
      <c r="Y118" s="46"/>
      <c r="AG118" s="49"/>
      <c r="AH118" s="49"/>
      <c r="AI118" s="49"/>
      <c r="AJ118" s="49"/>
      <c r="AK118" s="49"/>
      <c r="AL118" s="46">
        <v>97</v>
      </c>
      <c r="AM118" s="46" t="e">
        <f t="shared" si="3"/>
        <v>#NUM!</v>
      </c>
      <c r="AN118" s="46" t="e">
        <f>SUM($AM$22:$AM118)</f>
        <v>#NUM!</v>
      </c>
      <c r="AO118" s="46" t="e">
        <f t="shared" ref="AO118:AO140" si="6">(1-alpha-AN118)/(AN119-AN118)</f>
        <v>#NUM!</v>
      </c>
      <c r="AP118" s="46" t="e">
        <f t="shared" ref="AP118:AP140" si="7">(alpha-AN118)/(AN119-AN118)</f>
        <v>#NUM!</v>
      </c>
    </row>
    <row r="119" spans="2:42">
      <c r="B119" s="47">
        <v>10</v>
      </c>
      <c r="C119" s="47">
        <v>7588.027</v>
      </c>
      <c r="D119" s="47">
        <v>14106.683999999999</v>
      </c>
      <c r="E119" s="47">
        <v>18.089437484741211</v>
      </c>
      <c r="G119" s="47">
        <v>114</v>
      </c>
      <c r="H119" s="47">
        <v>7430.6975000000002</v>
      </c>
      <c r="I119" s="47">
        <v>12</v>
      </c>
      <c r="J119" s="47">
        <v>11296.22</v>
      </c>
      <c r="K119" s="47">
        <v>16</v>
      </c>
      <c r="L119" s="47">
        <v>11.87614631652832</v>
      </c>
      <c r="M119" s="47">
        <v>20</v>
      </c>
      <c r="N119" s="49"/>
      <c r="O119" s="49"/>
      <c r="P119" s="49"/>
      <c r="Q119" s="49"/>
      <c r="R119" s="49"/>
      <c r="S119" s="49"/>
      <c r="T119" s="49"/>
      <c r="U119" s="49"/>
      <c r="V119" s="46"/>
      <c r="W119" s="46"/>
      <c r="X119" s="46"/>
      <c r="Y119" s="46"/>
      <c r="AG119" s="49"/>
      <c r="AH119" s="49"/>
      <c r="AI119" s="49"/>
      <c r="AJ119" s="49"/>
      <c r="AK119" s="49"/>
      <c r="AL119" s="46">
        <v>98</v>
      </c>
      <c r="AM119" s="46" t="e">
        <f t="shared" si="3"/>
        <v>#NUM!</v>
      </c>
      <c r="AN119" s="46" t="e">
        <f>SUM($AM$22:$AM119)</f>
        <v>#NUM!</v>
      </c>
      <c r="AO119" s="46" t="e">
        <f t="shared" si="6"/>
        <v>#NUM!</v>
      </c>
      <c r="AP119" s="46" t="e">
        <f t="shared" si="7"/>
        <v>#NUM!</v>
      </c>
    </row>
    <row r="120" spans="2:42">
      <c r="B120" s="47">
        <v>10</v>
      </c>
      <c r="C120" s="47">
        <v>7244.4295000000002</v>
      </c>
      <c r="D120" s="47">
        <v>13552.093999999999</v>
      </c>
      <c r="E120" s="47">
        <v>17.494550704956055</v>
      </c>
      <c r="G120" s="47">
        <v>115</v>
      </c>
      <c r="H120" s="47">
        <v>7436.7775000000001</v>
      </c>
      <c r="I120" s="47">
        <v>10</v>
      </c>
      <c r="J120" s="47">
        <v>11296.544</v>
      </c>
      <c r="K120" s="47">
        <v>18</v>
      </c>
      <c r="L120" s="47">
        <v>11.880672454833984</v>
      </c>
      <c r="M120" s="47">
        <v>18</v>
      </c>
      <c r="N120" s="49"/>
      <c r="O120" s="49"/>
      <c r="P120" s="49"/>
      <c r="Q120" s="49"/>
      <c r="R120" s="49"/>
      <c r="S120" s="49"/>
      <c r="T120" s="49"/>
      <c r="U120" s="49"/>
      <c r="V120" s="46"/>
      <c r="W120" s="46"/>
      <c r="X120" s="46"/>
      <c r="Y120" s="46"/>
      <c r="AG120" s="49"/>
      <c r="AH120" s="49"/>
      <c r="AI120" s="49"/>
      <c r="AJ120" s="49"/>
      <c r="AK120" s="49"/>
      <c r="AL120" s="46">
        <v>99</v>
      </c>
      <c r="AM120" s="46" t="e">
        <f t="shared" si="3"/>
        <v>#NUM!</v>
      </c>
      <c r="AN120" s="46" t="e">
        <f>SUM($AM$22:$AM120)</f>
        <v>#NUM!</v>
      </c>
      <c r="AO120" s="46" t="e">
        <f t="shared" si="6"/>
        <v>#NUM!</v>
      </c>
      <c r="AP120" s="46" t="e">
        <f t="shared" si="7"/>
        <v>#NUM!</v>
      </c>
    </row>
    <row r="121" spans="2:42">
      <c r="B121" s="47">
        <v>10</v>
      </c>
      <c r="C121" s="47">
        <v>7818.076</v>
      </c>
      <c r="D121" s="47">
        <v>14041.137000000001</v>
      </c>
      <c r="E121" s="47">
        <v>17.471946716308594</v>
      </c>
      <c r="G121" s="47">
        <v>116</v>
      </c>
      <c r="H121" s="47">
        <v>7441.2929999999997</v>
      </c>
      <c r="I121" s="47">
        <v>10</v>
      </c>
      <c r="J121" s="47">
        <v>11297.424000000001</v>
      </c>
      <c r="K121" s="47">
        <v>18</v>
      </c>
      <c r="L121" s="47">
        <v>11.881376266479492</v>
      </c>
      <c r="M121" s="47">
        <v>20</v>
      </c>
      <c r="N121" s="49"/>
      <c r="O121" s="49"/>
      <c r="P121" s="49"/>
      <c r="Q121" s="49"/>
      <c r="R121" s="49"/>
      <c r="S121" s="49"/>
      <c r="T121" s="49"/>
      <c r="U121" s="49"/>
      <c r="V121" s="46"/>
      <c r="W121" s="46"/>
      <c r="X121" s="46"/>
      <c r="Y121" s="46"/>
      <c r="AG121" s="49"/>
      <c r="AH121" s="49"/>
      <c r="AI121" s="49"/>
      <c r="AJ121" s="49"/>
      <c r="AK121" s="49"/>
      <c r="AL121" s="46">
        <v>100</v>
      </c>
      <c r="AM121" s="46" t="e">
        <f t="shared" si="3"/>
        <v>#NUM!</v>
      </c>
      <c r="AN121" s="46" t="e">
        <f>SUM($AM$22:$AM121)</f>
        <v>#NUM!</v>
      </c>
      <c r="AO121" s="46" t="e">
        <f t="shared" si="6"/>
        <v>#NUM!</v>
      </c>
      <c r="AP121" s="46" t="e">
        <f t="shared" si="7"/>
        <v>#NUM!</v>
      </c>
    </row>
    <row r="122" spans="2:42">
      <c r="B122" s="47">
        <v>10</v>
      </c>
      <c r="C122" s="47">
        <v>7514.1364999999996</v>
      </c>
      <c r="D122" s="47">
        <v>13325.444</v>
      </c>
      <c r="E122" s="47">
        <v>16.589361190795898</v>
      </c>
      <c r="G122" s="47">
        <v>117</v>
      </c>
      <c r="H122" s="47">
        <v>7442.1954999999998</v>
      </c>
      <c r="I122" s="47">
        <v>10</v>
      </c>
      <c r="J122" s="47">
        <v>11298.531000000001</v>
      </c>
      <c r="K122" s="47">
        <v>20</v>
      </c>
      <c r="L122" s="47">
        <v>11.895634651184082</v>
      </c>
      <c r="M122" s="47">
        <v>20</v>
      </c>
      <c r="N122" s="49"/>
      <c r="O122" s="49"/>
      <c r="P122" s="49"/>
      <c r="Q122" s="49"/>
      <c r="R122" s="49"/>
      <c r="S122" s="49"/>
      <c r="T122" s="49"/>
      <c r="U122" s="49"/>
      <c r="V122" s="46"/>
      <c r="W122" s="46"/>
      <c r="X122" s="46"/>
      <c r="Y122" s="46"/>
      <c r="AG122" s="49"/>
      <c r="AH122" s="49"/>
      <c r="AI122" s="49"/>
      <c r="AJ122" s="49"/>
      <c r="AK122" s="49"/>
      <c r="AL122" s="46">
        <v>101</v>
      </c>
      <c r="AM122" s="46" t="e">
        <f t="shared" si="3"/>
        <v>#NUM!</v>
      </c>
      <c r="AN122" s="46" t="e">
        <f>SUM($AM$22:$AM122)</f>
        <v>#NUM!</v>
      </c>
      <c r="AO122" s="46" t="e">
        <f t="shared" si="6"/>
        <v>#NUM!</v>
      </c>
      <c r="AP122" s="46" t="e">
        <f t="shared" si="7"/>
        <v>#NUM!</v>
      </c>
    </row>
    <row r="123" spans="2:42">
      <c r="B123" s="47">
        <v>10</v>
      </c>
      <c r="C123" s="47">
        <v>7424.4705000000004</v>
      </c>
      <c r="D123" s="47">
        <v>13620.55</v>
      </c>
      <c r="E123" s="47">
        <v>17.359725952148438</v>
      </c>
      <c r="G123" s="47">
        <v>118</v>
      </c>
      <c r="H123" s="47">
        <v>7444.4849999999997</v>
      </c>
      <c r="I123" s="47">
        <v>10</v>
      </c>
      <c r="J123" s="47">
        <v>11299.42</v>
      </c>
      <c r="K123" s="47">
        <v>16</v>
      </c>
      <c r="L123" s="47">
        <v>11.896761894226074</v>
      </c>
      <c r="M123" s="47">
        <v>18</v>
      </c>
      <c r="N123" s="49"/>
      <c r="O123" s="49"/>
      <c r="P123" s="49"/>
      <c r="Q123" s="49"/>
      <c r="R123" s="49"/>
      <c r="S123" s="49"/>
      <c r="T123" s="49"/>
      <c r="U123" s="49"/>
      <c r="V123" s="46"/>
      <c r="W123" s="46"/>
      <c r="X123" s="46"/>
      <c r="Y123" s="46"/>
      <c r="AG123" s="49"/>
      <c r="AH123" s="49"/>
      <c r="AI123" s="49"/>
      <c r="AJ123" s="49"/>
      <c r="AK123" s="49"/>
      <c r="AL123" s="46">
        <v>102</v>
      </c>
      <c r="AM123" s="46" t="e">
        <f t="shared" si="3"/>
        <v>#NUM!</v>
      </c>
      <c r="AN123" s="46" t="e">
        <f>SUM($AM$22:$AM123)</f>
        <v>#NUM!</v>
      </c>
      <c r="AO123" s="46" t="e">
        <f t="shared" si="6"/>
        <v>#NUM!</v>
      </c>
      <c r="AP123" s="46" t="e">
        <f t="shared" si="7"/>
        <v>#NUM!</v>
      </c>
    </row>
    <row r="124" spans="2:42">
      <c r="B124" s="47">
        <v>10</v>
      </c>
      <c r="C124" s="47">
        <v>7228.3959999999997</v>
      </c>
      <c r="D124" s="47">
        <v>13111.343000000001</v>
      </c>
      <c r="E124" s="47">
        <v>16.711767196655273</v>
      </c>
      <c r="G124" s="47">
        <v>119</v>
      </c>
      <c r="H124" s="47">
        <v>7455.1854999999996</v>
      </c>
      <c r="I124" s="47">
        <v>10</v>
      </c>
      <c r="J124" s="47">
        <v>11300.178</v>
      </c>
      <c r="K124" s="47">
        <v>16</v>
      </c>
      <c r="L124" s="47">
        <v>11.905855178833008</v>
      </c>
      <c r="M124" s="47">
        <v>18</v>
      </c>
      <c r="N124" s="49"/>
      <c r="O124" s="49"/>
      <c r="P124" s="49"/>
      <c r="Q124" s="49"/>
      <c r="R124" s="49"/>
      <c r="S124" s="49"/>
      <c r="T124" s="49"/>
      <c r="U124" s="49"/>
      <c r="V124" s="46"/>
      <c r="W124" s="46"/>
      <c r="X124" s="46"/>
      <c r="Y124" s="46"/>
      <c r="AG124" s="49"/>
      <c r="AH124" s="49"/>
      <c r="AI124" s="49"/>
      <c r="AJ124" s="49"/>
      <c r="AK124" s="49"/>
      <c r="AL124" s="46">
        <v>103</v>
      </c>
      <c r="AM124" s="46" t="e">
        <f t="shared" si="3"/>
        <v>#NUM!</v>
      </c>
      <c r="AN124" s="46" t="e">
        <f>SUM($AM$22:$AM124)</f>
        <v>#NUM!</v>
      </c>
      <c r="AO124" s="46" t="e">
        <f t="shared" si="6"/>
        <v>#NUM!</v>
      </c>
      <c r="AP124" s="46" t="e">
        <f t="shared" si="7"/>
        <v>#NUM!</v>
      </c>
    </row>
    <row r="125" spans="2:42">
      <c r="B125" s="47">
        <v>10</v>
      </c>
      <c r="C125" s="47">
        <v>7484.2214999999997</v>
      </c>
      <c r="D125" s="47">
        <v>13606.163</v>
      </c>
      <c r="E125" s="47">
        <v>16.514205932617188</v>
      </c>
      <c r="G125" s="47">
        <v>120</v>
      </c>
      <c r="H125" s="47">
        <v>7463.0715</v>
      </c>
      <c r="I125" s="47">
        <v>14</v>
      </c>
      <c r="J125" s="47">
        <v>11321.169</v>
      </c>
      <c r="K125" s="47">
        <v>20</v>
      </c>
      <c r="L125" s="47">
        <v>11.90787410736084</v>
      </c>
      <c r="M125" s="47">
        <v>16</v>
      </c>
      <c r="N125" s="49"/>
      <c r="O125" s="49"/>
      <c r="P125" s="49"/>
      <c r="Q125" s="49"/>
      <c r="R125" s="49"/>
      <c r="S125" s="49"/>
      <c r="T125" s="49"/>
      <c r="U125" s="49"/>
      <c r="V125" s="46"/>
      <c r="W125" s="46"/>
      <c r="X125" s="46"/>
      <c r="Y125" s="46"/>
      <c r="AG125" s="49"/>
      <c r="AH125" s="49"/>
      <c r="AI125" s="49"/>
      <c r="AJ125" s="49"/>
      <c r="AK125" s="49"/>
      <c r="AL125" s="46">
        <v>104</v>
      </c>
      <c r="AM125" s="46" t="e">
        <f t="shared" si="3"/>
        <v>#NUM!</v>
      </c>
      <c r="AN125" s="46" t="e">
        <f>SUM($AM$22:$AM125)</f>
        <v>#NUM!</v>
      </c>
      <c r="AO125" s="46" t="e">
        <f t="shared" si="6"/>
        <v>#NUM!</v>
      </c>
      <c r="AP125" s="46" t="e">
        <f t="shared" si="7"/>
        <v>#NUM!</v>
      </c>
    </row>
    <row r="126" spans="2:42">
      <c r="B126" s="47">
        <v>10</v>
      </c>
      <c r="C126" s="47">
        <v>7514.665</v>
      </c>
      <c r="D126" s="47">
        <v>13208.333000000001</v>
      </c>
      <c r="E126" s="47">
        <v>17.30859375</v>
      </c>
      <c r="G126" s="47">
        <v>121</v>
      </c>
      <c r="H126" s="47">
        <v>7463.2389999999996</v>
      </c>
      <c r="I126" s="47">
        <v>10</v>
      </c>
      <c r="J126" s="47">
        <v>11337.442999999999</v>
      </c>
      <c r="K126" s="47">
        <v>16</v>
      </c>
      <c r="L126" s="47">
        <v>11.921449661254883</v>
      </c>
      <c r="M126" s="47">
        <v>16</v>
      </c>
      <c r="N126" s="49"/>
      <c r="O126" s="49"/>
      <c r="P126" s="49"/>
      <c r="Q126" s="49"/>
      <c r="R126" s="49"/>
      <c r="S126" s="49"/>
      <c r="T126" s="49"/>
      <c r="U126" s="49"/>
      <c r="V126" s="46"/>
      <c r="W126" s="46"/>
      <c r="X126" s="46"/>
      <c r="Y126" s="46"/>
      <c r="AG126" s="49"/>
      <c r="AH126" s="49"/>
      <c r="AI126" s="49"/>
      <c r="AJ126" s="49"/>
      <c r="AK126" s="49"/>
      <c r="AL126" s="46">
        <v>105</v>
      </c>
      <c r="AM126" s="46" t="e">
        <f t="shared" si="3"/>
        <v>#NUM!</v>
      </c>
      <c r="AN126" s="46" t="e">
        <f>SUM($AM$22:$AM126)</f>
        <v>#NUM!</v>
      </c>
      <c r="AO126" s="46" t="e">
        <f t="shared" si="6"/>
        <v>#NUM!</v>
      </c>
      <c r="AP126" s="46" t="e">
        <f t="shared" si="7"/>
        <v>#NUM!</v>
      </c>
    </row>
    <row r="127" spans="2:42">
      <c r="B127" s="47">
        <v>10</v>
      </c>
      <c r="C127" s="47">
        <v>7779.1109999999999</v>
      </c>
      <c r="D127" s="47">
        <v>14187.924999999999</v>
      </c>
      <c r="E127" s="47">
        <v>17.434015274047852</v>
      </c>
      <c r="G127" s="47">
        <v>122</v>
      </c>
      <c r="H127" s="47">
        <v>7463.3694999999998</v>
      </c>
      <c r="I127" s="47">
        <v>8</v>
      </c>
      <c r="J127" s="47">
        <v>11346.483</v>
      </c>
      <c r="K127" s="47">
        <v>20</v>
      </c>
      <c r="L127" s="47">
        <v>11.946213722229004</v>
      </c>
      <c r="M127" s="47">
        <v>16</v>
      </c>
      <c r="N127" s="49"/>
      <c r="O127" s="49"/>
      <c r="P127" s="49"/>
      <c r="Q127" s="49"/>
      <c r="R127" s="49"/>
      <c r="S127" s="49"/>
      <c r="T127" s="49"/>
      <c r="U127" s="49"/>
      <c r="V127" s="46"/>
      <c r="W127" s="46"/>
      <c r="X127" s="46"/>
      <c r="Y127" s="46"/>
      <c r="AG127" s="49"/>
      <c r="AH127" s="49"/>
      <c r="AI127" s="49"/>
      <c r="AJ127" s="49"/>
      <c r="AK127" s="49"/>
      <c r="AL127" s="46">
        <v>106</v>
      </c>
      <c r="AM127" s="46" t="e">
        <f t="shared" si="3"/>
        <v>#NUM!</v>
      </c>
      <c r="AN127" s="46" t="e">
        <f>SUM($AM$22:$AM127)</f>
        <v>#NUM!</v>
      </c>
      <c r="AO127" s="46" t="e">
        <f t="shared" si="6"/>
        <v>#NUM!</v>
      </c>
      <c r="AP127" s="46" t="e">
        <f t="shared" si="7"/>
        <v>#NUM!</v>
      </c>
    </row>
    <row r="128" spans="2:42">
      <c r="B128" s="47">
        <v>10</v>
      </c>
      <c r="C128" s="47">
        <v>7159.4849999999997</v>
      </c>
      <c r="D128" s="47">
        <v>13680.753000000001</v>
      </c>
      <c r="E128" s="47">
        <v>16.809043884277344</v>
      </c>
      <c r="G128" s="47">
        <v>123</v>
      </c>
      <c r="H128" s="47">
        <v>7469.7719999999999</v>
      </c>
      <c r="I128" s="47">
        <v>10</v>
      </c>
      <c r="J128" s="47">
        <v>11360.764999999999</v>
      </c>
      <c r="K128" s="47">
        <v>16</v>
      </c>
      <c r="L128" s="47">
        <v>11.960766792297363</v>
      </c>
      <c r="M128" s="47">
        <v>18</v>
      </c>
      <c r="N128" s="49"/>
      <c r="O128" s="49"/>
      <c r="P128" s="49"/>
      <c r="Q128" s="49"/>
      <c r="R128" s="49"/>
      <c r="S128" s="49"/>
      <c r="T128" s="49"/>
      <c r="U128" s="49"/>
      <c r="V128" s="46"/>
      <c r="W128" s="46"/>
      <c r="X128" s="46"/>
      <c r="Y128" s="46"/>
      <c r="AG128" s="49"/>
      <c r="AH128" s="49"/>
      <c r="AI128" s="49"/>
      <c r="AJ128" s="49"/>
      <c r="AK128" s="49"/>
      <c r="AL128" s="46">
        <v>107</v>
      </c>
      <c r="AM128" s="46" t="e">
        <f t="shared" si="3"/>
        <v>#NUM!</v>
      </c>
      <c r="AN128" s="46" t="e">
        <f>SUM($AM$22:$AM128)</f>
        <v>#NUM!</v>
      </c>
      <c r="AO128" s="46" t="e">
        <f t="shared" si="6"/>
        <v>#NUM!</v>
      </c>
      <c r="AP128" s="46" t="e">
        <f t="shared" si="7"/>
        <v>#NUM!</v>
      </c>
    </row>
    <row r="129" spans="2:42">
      <c r="B129" s="47">
        <v>10</v>
      </c>
      <c r="C129" s="47">
        <v>7469.7719999999999</v>
      </c>
      <c r="D129" s="47">
        <v>14495.945</v>
      </c>
      <c r="E129" s="47">
        <v>17.95867919921875</v>
      </c>
      <c r="G129" s="47">
        <v>124</v>
      </c>
      <c r="H129" s="47">
        <v>7470.3545000000004</v>
      </c>
      <c r="I129" s="47">
        <v>12</v>
      </c>
      <c r="J129" s="47">
        <v>11369.629000000001</v>
      </c>
      <c r="K129" s="47">
        <v>20</v>
      </c>
      <c r="L129" s="47">
        <v>11.964569091796875</v>
      </c>
      <c r="M129" s="47">
        <v>16</v>
      </c>
      <c r="N129" s="49"/>
      <c r="O129" s="49"/>
      <c r="P129" s="49"/>
      <c r="Q129" s="49"/>
      <c r="R129" s="49"/>
      <c r="S129" s="49"/>
      <c r="T129" s="49"/>
      <c r="U129" s="49"/>
      <c r="V129" s="46"/>
      <c r="W129" s="46"/>
      <c r="X129" s="46"/>
      <c r="Y129" s="46"/>
      <c r="AG129" s="49"/>
      <c r="AH129" s="49"/>
      <c r="AI129" s="49"/>
      <c r="AJ129" s="49"/>
      <c r="AK129" s="49"/>
      <c r="AL129" s="46">
        <v>108</v>
      </c>
      <c r="AM129" s="46" t="e">
        <f t="shared" si="3"/>
        <v>#NUM!</v>
      </c>
      <c r="AN129" s="46" t="e">
        <f>SUM($AM$22:$AM129)</f>
        <v>#NUM!</v>
      </c>
      <c r="AO129" s="46" t="e">
        <f t="shared" si="6"/>
        <v>#NUM!</v>
      </c>
      <c r="AP129" s="46" t="e">
        <f t="shared" si="7"/>
        <v>#NUM!</v>
      </c>
    </row>
    <row r="130" spans="2:42">
      <c r="B130" s="47">
        <v>10</v>
      </c>
      <c r="C130" s="47">
        <v>7485.4080000000004</v>
      </c>
      <c r="D130" s="47">
        <v>13718.061</v>
      </c>
      <c r="E130" s="47">
        <v>17.200820922851563</v>
      </c>
      <c r="G130" s="47">
        <v>125</v>
      </c>
      <c r="H130" s="47">
        <v>7472.0140000000001</v>
      </c>
      <c r="I130" s="47">
        <v>14</v>
      </c>
      <c r="J130" s="47">
        <v>11371.81</v>
      </c>
      <c r="K130" s="47">
        <v>16</v>
      </c>
      <c r="L130" s="47">
        <v>11.974716186523438</v>
      </c>
      <c r="M130" s="47">
        <v>16</v>
      </c>
      <c r="N130" s="49"/>
      <c r="O130" s="49"/>
      <c r="P130" s="49"/>
      <c r="Q130" s="49"/>
      <c r="R130" s="49"/>
      <c r="S130" s="49"/>
      <c r="T130" s="49"/>
      <c r="U130" s="49"/>
      <c r="V130" s="46"/>
      <c r="W130" s="46"/>
      <c r="X130" s="46"/>
      <c r="Y130" s="46"/>
      <c r="AG130" s="49"/>
      <c r="AH130" s="49"/>
      <c r="AI130" s="49"/>
      <c r="AJ130" s="49"/>
      <c r="AK130" s="49"/>
      <c r="AL130" s="46">
        <v>109</v>
      </c>
      <c r="AM130" s="46" t="e">
        <f t="shared" si="3"/>
        <v>#NUM!</v>
      </c>
      <c r="AN130" s="46" t="e">
        <f>SUM($AM$22:$AM130)</f>
        <v>#NUM!</v>
      </c>
      <c r="AO130" s="46" t="e">
        <f t="shared" si="6"/>
        <v>#NUM!</v>
      </c>
      <c r="AP130" s="46" t="e">
        <f t="shared" si="7"/>
        <v>#NUM!</v>
      </c>
    </row>
    <row r="131" spans="2:42">
      <c r="B131" s="47">
        <v>10</v>
      </c>
      <c r="C131" s="47">
        <v>7180.4139999999998</v>
      </c>
      <c r="D131" s="47">
        <v>14068.915000000001</v>
      </c>
      <c r="E131" s="47">
        <v>17.165313720703125</v>
      </c>
      <c r="G131" s="47">
        <v>126</v>
      </c>
      <c r="H131" s="47">
        <v>7476.1014999999998</v>
      </c>
      <c r="I131" s="47">
        <v>10</v>
      </c>
      <c r="J131" s="47">
        <v>11373.200999999999</v>
      </c>
      <c r="K131" s="47">
        <v>20</v>
      </c>
      <c r="L131" s="47">
        <v>11.9832763671875</v>
      </c>
      <c r="M131" s="47">
        <v>18</v>
      </c>
      <c r="N131" s="49"/>
      <c r="O131" s="49"/>
      <c r="P131" s="49"/>
      <c r="Q131" s="49"/>
      <c r="R131" s="49"/>
      <c r="S131" s="49"/>
      <c r="T131" s="49"/>
      <c r="U131" s="49"/>
      <c r="V131" s="46"/>
      <c r="W131" s="46"/>
      <c r="X131" s="46"/>
      <c r="Y131" s="46"/>
      <c r="AG131" s="49"/>
      <c r="AH131" s="49"/>
      <c r="AI131" s="49"/>
      <c r="AJ131" s="49"/>
      <c r="AK131" s="49"/>
      <c r="AL131" s="46">
        <v>110</v>
      </c>
      <c r="AM131" s="46" t="e">
        <f t="shared" si="3"/>
        <v>#NUM!</v>
      </c>
      <c r="AN131" s="46" t="e">
        <f>SUM($AM$22:$AM131)</f>
        <v>#NUM!</v>
      </c>
      <c r="AO131" s="46" t="e">
        <f t="shared" si="6"/>
        <v>#NUM!</v>
      </c>
      <c r="AP131" s="46" t="e">
        <f t="shared" si="7"/>
        <v>#NUM!</v>
      </c>
    </row>
    <row r="132" spans="2:42">
      <c r="B132" s="47">
        <v>10</v>
      </c>
      <c r="C132" s="47">
        <v>7630.9785000000002</v>
      </c>
      <c r="D132" s="47">
        <v>14200.424999999999</v>
      </c>
      <c r="E132" s="47">
        <v>16.866073608398438</v>
      </c>
      <c r="G132" s="47">
        <v>127</v>
      </c>
      <c r="H132" s="47">
        <v>7481.8190000000004</v>
      </c>
      <c r="I132" s="47">
        <v>10</v>
      </c>
      <c r="J132" s="47">
        <v>11379.162</v>
      </c>
      <c r="K132" s="47">
        <v>20</v>
      </c>
      <c r="L132" s="47">
        <v>11.988593101501465</v>
      </c>
      <c r="M132" s="47">
        <v>18</v>
      </c>
      <c r="N132" s="49"/>
      <c r="O132" s="49"/>
      <c r="P132" s="49"/>
      <c r="Q132" s="49"/>
      <c r="R132" s="49"/>
      <c r="S132" s="49"/>
      <c r="T132" s="49"/>
      <c r="U132" s="49"/>
      <c r="V132" s="46"/>
      <c r="W132" s="46"/>
      <c r="X132" s="46"/>
      <c r="Y132" s="46"/>
      <c r="AG132" s="49"/>
      <c r="AH132" s="49"/>
      <c r="AI132" s="49"/>
      <c r="AJ132" s="49"/>
      <c r="AK132" s="49"/>
      <c r="AL132" s="46">
        <v>111</v>
      </c>
      <c r="AM132" s="46" t="e">
        <f t="shared" si="3"/>
        <v>#NUM!</v>
      </c>
      <c r="AN132" s="46" t="e">
        <f>SUM($AM$22:$AM132)</f>
        <v>#NUM!</v>
      </c>
      <c r="AO132" s="46" t="e">
        <f t="shared" si="6"/>
        <v>#NUM!</v>
      </c>
      <c r="AP132" s="46" t="e">
        <f t="shared" si="7"/>
        <v>#NUM!</v>
      </c>
    </row>
    <row r="133" spans="2:42">
      <c r="B133" s="47">
        <v>10</v>
      </c>
      <c r="C133" s="47">
        <v>7327.08</v>
      </c>
      <c r="D133" s="47">
        <v>14158.686</v>
      </c>
      <c r="E133" s="47">
        <v>17.790487289428711</v>
      </c>
      <c r="G133" s="47">
        <v>128</v>
      </c>
      <c r="H133" s="47">
        <v>7484.2214999999997</v>
      </c>
      <c r="I133" s="47">
        <v>10</v>
      </c>
      <c r="J133" s="47">
        <v>11383.141</v>
      </c>
      <c r="K133" s="47">
        <v>18</v>
      </c>
      <c r="L133" s="47">
        <v>12.017244338989258</v>
      </c>
      <c r="M133" s="47">
        <v>18</v>
      </c>
      <c r="N133" s="49"/>
      <c r="O133" s="49"/>
      <c r="P133" s="49"/>
      <c r="Q133" s="49"/>
      <c r="R133" s="49"/>
      <c r="S133" s="49"/>
      <c r="T133" s="49"/>
      <c r="U133" s="49"/>
      <c r="V133" s="46"/>
      <c r="W133" s="46"/>
      <c r="X133" s="46"/>
      <c r="Y133" s="46"/>
      <c r="AL133" s="46">
        <v>112</v>
      </c>
      <c r="AM133" s="46" t="e">
        <f t="shared" si="3"/>
        <v>#NUM!</v>
      </c>
      <c r="AN133" s="46" t="e">
        <f>SUM($AM$22:$AM133)</f>
        <v>#NUM!</v>
      </c>
      <c r="AO133" s="46" t="e">
        <f t="shared" si="6"/>
        <v>#NUM!</v>
      </c>
      <c r="AP133" s="46" t="e">
        <f t="shared" si="7"/>
        <v>#NUM!</v>
      </c>
    </row>
    <row r="134" spans="2:42">
      <c r="B134" s="47">
        <v>10</v>
      </c>
      <c r="C134" s="47">
        <v>7235.1610000000001</v>
      </c>
      <c r="D134" s="47">
        <v>13975.119000000001</v>
      </c>
      <c r="E134" s="47">
        <v>17.776773452758789</v>
      </c>
      <c r="G134" s="47">
        <v>129</v>
      </c>
      <c r="H134" s="47">
        <v>7485.4080000000004</v>
      </c>
      <c r="I134" s="47">
        <v>10</v>
      </c>
      <c r="J134" s="47">
        <v>11386.744000000001</v>
      </c>
      <c r="K134" s="47">
        <v>20</v>
      </c>
      <c r="L134" s="47">
        <v>12.03697681427002</v>
      </c>
      <c r="M134" s="47">
        <v>16</v>
      </c>
      <c r="N134" s="49"/>
      <c r="O134" s="49"/>
      <c r="P134" s="49"/>
      <c r="Q134" s="49"/>
      <c r="R134" s="49"/>
      <c r="S134" s="49"/>
      <c r="T134" s="49"/>
      <c r="U134" s="49"/>
      <c r="V134" s="46"/>
      <c r="W134" s="46"/>
      <c r="X134" s="46"/>
      <c r="Y134" s="46"/>
      <c r="AL134" s="46">
        <v>113</v>
      </c>
      <c r="AM134" s="46" t="e">
        <f t="shared" si="3"/>
        <v>#NUM!</v>
      </c>
      <c r="AN134" s="46" t="e">
        <f>SUM($AM$22:$AM134)</f>
        <v>#NUM!</v>
      </c>
      <c r="AO134" s="46" t="e">
        <f t="shared" si="6"/>
        <v>#NUM!</v>
      </c>
      <c r="AP134" s="46" t="e">
        <f t="shared" si="7"/>
        <v>#NUM!</v>
      </c>
    </row>
    <row r="135" spans="2:42">
      <c r="B135" s="47">
        <v>10</v>
      </c>
      <c r="C135" s="47">
        <v>7510.8554999999997</v>
      </c>
      <c r="D135" s="47">
        <v>13323.107</v>
      </c>
      <c r="E135" s="47">
        <v>16.997203826904297</v>
      </c>
      <c r="G135" s="47">
        <v>130</v>
      </c>
      <c r="H135" s="47">
        <v>7486.9155000000001</v>
      </c>
      <c r="I135" s="47">
        <v>12</v>
      </c>
      <c r="J135" s="47">
        <v>11387.923000000001</v>
      </c>
      <c r="K135" s="47">
        <v>16</v>
      </c>
      <c r="L135" s="47">
        <v>12.043862342834473</v>
      </c>
      <c r="M135" s="47">
        <v>18</v>
      </c>
      <c r="N135" s="49"/>
      <c r="O135" s="49"/>
      <c r="P135" s="49"/>
      <c r="Q135" s="49"/>
      <c r="R135" s="49"/>
      <c r="S135" s="49"/>
      <c r="T135" s="49"/>
      <c r="U135" s="49"/>
      <c r="V135" s="46"/>
      <c r="W135" s="46"/>
      <c r="X135" s="46"/>
      <c r="Y135" s="46"/>
      <c r="AL135" s="46">
        <v>114</v>
      </c>
      <c r="AM135" s="46" t="e">
        <f t="shared" si="3"/>
        <v>#NUM!</v>
      </c>
      <c r="AN135" s="46" t="e">
        <f>SUM($AM$22:$AM135)</f>
        <v>#NUM!</v>
      </c>
      <c r="AO135" s="46" t="e">
        <f t="shared" si="6"/>
        <v>#NUM!</v>
      </c>
      <c r="AP135" s="46" t="e">
        <f t="shared" si="7"/>
        <v>#NUM!</v>
      </c>
    </row>
    <row r="136" spans="2:42">
      <c r="B136" s="47">
        <v>10</v>
      </c>
      <c r="C136" s="47">
        <v>7768.1225000000004</v>
      </c>
      <c r="D136" s="47">
        <v>14250.416999999999</v>
      </c>
      <c r="E136" s="47">
        <v>17.303516387939453</v>
      </c>
      <c r="G136" s="47">
        <v>131</v>
      </c>
      <c r="H136" s="47">
        <v>7492.2110000000002</v>
      </c>
      <c r="I136" s="47">
        <v>10</v>
      </c>
      <c r="J136" s="47">
        <v>11389.672</v>
      </c>
      <c r="K136" s="47">
        <v>20</v>
      </c>
      <c r="L136" s="47">
        <v>12.045499801635742</v>
      </c>
      <c r="M136" s="47">
        <v>16</v>
      </c>
      <c r="N136" s="49"/>
      <c r="O136" s="49"/>
      <c r="P136" s="49"/>
      <c r="Q136" s="49"/>
      <c r="R136" s="49"/>
      <c r="S136" s="49"/>
      <c r="T136" s="49"/>
      <c r="U136" s="49"/>
      <c r="V136" s="46"/>
      <c r="W136" s="46"/>
      <c r="X136" s="46"/>
      <c r="Y136" s="46"/>
      <c r="AL136" s="46">
        <v>115</v>
      </c>
      <c r="AM136" s="46" t="e">
        <f t="shared" si="3"/>
        <v>#NUM!</v>
      </c>
      <c r="AN136" s="46" t="e">
        <f>SUM($AM$22:$AM136)</f>
        <v>#NUM!</v>
      </c>
      <c r="AO136" s="46" t="e">
        <f t="shared" si="6"/>
        <v>#NUM!</v>
      </c>
      <c r="AP136" s="46" t="e">
        <f t="shared" si="7"/>
        <v>#NUM!</v>
      </c>
    </row>
    <row r="137" spans="2:42">
      <c r="B137" s="47">
        <v>10</v>
      </c>
      <c r="C137" s="47">
        <v>8224.3700000000008</v>
      </c>
      <c r="D137" s="47">
        <v>13838.808000000001</v>
      </c>
      <c r="E137" s="47">
        <v>17.303129196166992</v>
      </c>
      <c r="G137" s="47">
        <v>132</v>
      </c>
      <c r="H137" s="47">
        <v>7497.8474999999999</v>
      </c>
      <c r="I137" s="47">
        <v>12</v>
      </c>
      <c r="J137" s="47">
        <v>11390.313</v>
      </c>
      <c r="K137" s="47">
        <v>16</v>
      </c>
      <c r="L137" s="47">
        <v>12.046049118041992</v>
      </c>
      <c r="M137" s="47">
        <v>20</v>
      </c>
      <c r="N137" s="49"/>
      <c r="O137" s="49"/>
      <c r="P137" s="49"/>
      <c r="Q137" s="49"/>
      <c r="R137" s="49"/>
      <c r="S137" s="49"/>
      <c r="T137" s="49"/>
      <c r="U137" s="49"/>
      <c r="V137" s="46"/>
      <c r="W137" s="46"/>
      <c r="X137" s="46"/>
      <c r="Y137" s="46"/>
      <c r="AL137" s="46">
        <v>116</v>
      </c>
      <c r="AM137" s="46" t="e">
        <f t="shared" si="3"/>
        <v>#NUM!</v>
      </c>
      <c r="AN137" s="46" t="e">
        <f>SUM($AM$22:$AM137)</f>
        <v>#NUM!</v>
      </c>
      <c r="AO137" s="46" t="e">
        <f t="shared" si="6"/>
        <v>#NUM!</v>
      </c>
      <c r="AP137" s="46" t="e">
        <f t="shared" si="7"/>
        <v>#NUM!</v>
      </c>
    </row>
    <row r="138" spans="2:42">
      <c r="B138" s="47">
        <v>10</v>
      </c>
      <c r="C138" s="47">
        <v>7353.2785000000003</v>
      </c>
      <c r="D138" s="47">
        <v>14113.544</v>
      </c>
      <c r="E138" s="47">
        <v>18.315929412841797</v>
      </c>
      <c r="G138" s="47">
        <v>133</v>
      </c>
      <c r="H138" s="47">
        <v>7506.7759999999998</v>
      </c>
      <c r="I138" s="47">
        <v>10</v>
      </c>
      <c r="J138" s="47">
        <v>11391.239</v>
      </c>
      <c r="K138" s="47">
        <v>18</v>
      </c>
      <c r="L138" s="47">
        <v>12.054322242736816</v>
      </c>
      <c r="M138" s="47">
        <v>20</v>
      </c>
      <c r="N138" s="49"/>
      <c r="O138" s="49"/>
      <c r="P138" s="49"/>
      <c r="Q138" s="49"/>
      <c r="R138" s="49"/>
      <c r="S138" s="49"/>
      <c r="T138" s="49"/>
      <c r="U138" s="49"/>
      <c r="V138" s="46"/>
      <c r="W138" s="46"/>
      <c r="X138" s="46"/>
      <c r="Y138" s="46"/>
      <c r="AL138" s="46">
        <v>117</v>
      </c>
      <c r="AM138" s="46" t="e">
        <f t="shared" si="3"/>
        <v>#NUM!</v>
      </c>
      <c r="AN138" s="46" t="e">
        <f>SUM($AM$22:$AM138)</f>
        <v>#NUM!</v>
      </c>
      <c r="AO138" s="46" t="e">
        <f t="shared" si="6"/>
        <v>#NUM!</v>
      </c>
      <c r="AP138" s="46" t="e">
        <f t="shared" si="7"/>
        <v>#NUM!</v>
      </c>
    </row>
    <row r="139" spans="2:42">
      <c r="B139" s="47">
        <v>10</v>
      </c>
      <c r="C139" s="47">
        <v>7557.8909999999996</v>
      </c>
      <c r="D139" s="47">
        <v>13464.898999999999</v>
      </c>
      <c r="E139" s="47">
        <v>17.119533538818359</v>
      </c>
      <c r="G139" s="47">
        <v>134</v>
      </c>
      <c r="H139" s="47">
        <v>7510.8554999999997</v>
      </c>
      <c r="I139" s="47">
        <v>10</v>
      </c>
      <c r="J139" s="47">
        <v>11392.88</v>
      </c>
      <c r="K139" s="47">
        <v>18</v>
      </c>
      <c r="L139" s="47">
        <v>12.063288688659668</v>
      </c>
      <c r="M139" s="47">
        <v>18</v>
      </c>
      <c r="N139" s="49"/>
      <c r="O139" s="49"/>
      <c r="P139" s="49"/>
      <c r="Q139" s="49"/>
      <c r="R139" s="49"/>
      <c r="S139" s="49"/>
      <c r="T139" s="49"/>
      <c r="U139" s="49"/>
      <c r="V139" s="46"/>
      <c r="W139" s="46"/>
      <c r="X139" s="46"/>
      <c r="Y139" s="46"/>
      <c r="AL139" s="46">
        <v>118</v>
      </c>
      <c r="AM139" s="46" t="e">
        <f t="shared" si="3"/>
        <v>#NUM!</v>
      </c>
      <c r="AN139" s="46" t="e">
        <f>SUM($AM$22:$AM139)</f>
        <v>#NUM!</v>
      </c>
      <c r="AO139" s="46" t="e">
        <f t="shared" si="6"/>
        <v>#NUM!</v>
      </c>
      <c r="AP139" s="46" t="e">
        <f t="shared" si="7"/>
        <v>#NUM!</v>
      </c>
    </row>
    <row r="140" spans="2:42">
      <c r="B140" s="47">
        <v>10</v>
      </c>
      <c r="C140" s="47">
        <v>7584.6274999999996</v>
      </c>
      <c r="D140" s="47">
        <v>13692.834000000001</v>
      </c>
      <c r="E140" s="47">
        <v>17.555889129638672</v>
      </c>
      <c r="G140" s="47">
        <v>135</v>
      </c>
      <c r="H140" s="47">
        <v>7514.1364999999996</v>
      </c>
      <c r="I140" s="47">
        <v>10</v>
      </c>
      <c r="J140" s="47">
        <v>11400.709000000001</v>
      </c>
      <c r="K140" s="47">
        <v>18</v>
      </c>
      <c r="L140" s="47">
        <v>12.077924728393555</v>
      </c>
      <c r="M140" s="47">
        <v>18</v>
      </c>
      <c r="N140" s="49"/>
      <c r="O140" s="49"/>
      <c r="P140" s="49"/>
      <c r="Q140" s="49"/>
      <c r="R140" s="49"/>
      <c r="S140" s="49"/>
      <c r="T140" s="49"/>
      <c r="U140" s="49"/>
      <c r="V140" s="46"/>
      <c r="W140" s="46"/>
      <c r="X140" s="46"/>
      <c r="Y140" s="46"/>
      <c r="AL140" s="46">
        <v>119</v>
      </c>
      <c r="AM140" s="46" t="e">
        <f t="shared" si="3"/>
        <v>#NUM!</v>
      </c>
      <c r="AN140" s="46" t="e">
        <f>SUM($AM$22:$AM140)</f>
        <v>#NUM!</v>
      </c>
      <c r="AO140" s="46" t="e">
        <f t="shared" si="6"/>
        <v>#NUM!</v>
      </c>
      <c r="AP140" s="46" t="e">
        <f t="shared" si="7"/>
        <v>#NUM!</v>
      </c>
    </row>
    <row r="141" spans="2:42">
      <c r="B141" s="47">
        <v>10</v>
      </c>
      <c r="C141" s="47">
        <v>7660.3879999999999</v>
      </c>
      <c r="D141" s="47">
        <v>13915.754999999999</v>
      </c>
      <c r="E141" s="47">
        <v>17.673797607421875</v>
      </c>
      <c r="G141" s="47">
        <v>136</v>
      </c>
      <c r="H141" s="47">
        <v>7514.665</v>
      </c>
      <c r="I141" s="47">
        <v>10</v>
      </c>
      <c r="J141" s="47">
        <v>11408.696</v>
      </c>
      <c r="K141" s="47">
        <v>20</v>
      </c>
      <c r="L141" s="47">
        <v>12.100709915161133</v>
      </c>
      <c r="M141" s="47">
        <v>18</v>
      </c>
      <c r="N141" s="49"/>
      <c r="O141" s="49"/>
      <c r="P141" s="49"/>
      <c r="Q141" s="49"/>
      <c r="R141" s="49"/>
      <c r="S141" s="49"/>
      <c r="T141" s="49"/>
      <c r="U141" s="49"/>
      <c r="V141" s="46"/>
      <c r="W141" s="46"/>
      <c r="X141" s="46"/>
      <c r="Y141" s="46"/>
      <c r="AL141" s="46">
        <v>120</v>
      </c>
      <c r="AM141" s="46" t="e">
        <f t="shared" si="3"/>
        <v>#NUM!</v>
      </c>
      <c r="AN141" s="46" t="e">
        <f>SUM($AM$22:$AM141)</f>
        <v>#NUM!</v>
      </c>
      <c r="AO141" s="46" t="e">
        <f>(1-alpha-AN141)/(#REF!-AN141)</f>
        <v>#NUM!</v>
      </c>
      <c r="AP141" s="46" t="e">
        <f>(alpha-AN141)/(#REF!-AN141)</f>
        <v>#NUM!</v>
      </c>
    </row>
    <row r="142" spans="2:42">
      <c r="B142" s="47">
        <v>10</v>
      </c>
      <c r="C142" s="47">
        <v>7221.5370000000003</v>
      </c>
      <c r="D142" s="47">
        <v>13653.915999999999</v>
      </c>
      <c r="E142" s="47">
        <v>16.677587509155273</v>
      </c>
      <c r="G142" s="47">
        <v>137</v>
      </c>
      <c r="H142" s="47">
        <v>7520.9624999999996</v>
      </c>
      <c r="I142" s="47">
        <v>10</v>
      </c>
      <c r="J142" s="47">
        <v>11415.834000000001</v>
      </c>
      <c r="K142" s="47">
        <v>16</v>
      </c>
      <c r="L142" s="47">
        <v>12.110803604125977</v>
      </c>
      <c r="M142" s="47">
        <v>18</v>
      </c>
      <c r="N142" s="49"/>
      <c r="O142" s="49"/>
      <c r="P142" s="49"/>
      <c r="Q142" s="49"/>
      <c r="R142" s="49"/>
      <c r="S142" s="49"/>
      <c r="T142" s="49"/>
      <c r="U142" s="49"/>
      <c r="V142" s="46"/>
      <c r="W142" s="46"/>
      <c r="X142" s="46"/>
      <c r="Y142" s="46"/>
    </row>
    <row r="143" spans="2:42">
      <c r="B143" s="47">
        <v>10</v>
      </c>
      <c r="C143" s="47">
        <v>7679.665</v>
      </c>
      <c r="D143" s="47">
        <v>13579.243</v>
      </c>
      <c r="E143" s="47">
        <v>16.925691604614258</v>
      </c>
      <c r="G143" s="47">
        <v>138</v>
      </c>
      <c r="H143" s="47">
        <v>7535.7534999999998</v>
      </c>
      <c r="I143" s="47">
        <v>12</v>
      </c>
      <c r="J143" s="47">
        <v>11425.584000000001</v>
      </c>
      <c r="K143" s="47">
        <v>20</v>
      </c>
      <c r="L143" s="47">
        <v>12.118688583374023</v>
      </c>
      <c r="M143" s="47">
        <v>16</v>
      </c>
      <c r="N143" s="49"/>
      <c r="O143" s="49"/>
      <c r="P143" s="49"/>
      <c r="Q143" s="49"/>
      <c r="R143" s="49"/>
      <c r="S143" s="49"/>
      <c r="T143" s="49"/>
      <c r="U143" s="49"/>
      <c r="V143" s="46"/>
      <c r="W143" s="46"/>
      <c r="X143" s="46"/>
      <c r="Y143" s="46"/>
    </row>
    <row r="144" spans="2:42">
      <c r="B144" s="47">
        <v>10</v>
      </c>
      <c r="C144" s="47">
        <v>7259.4444999999996</v>
      </c>
      <c r="D144" s="47">
        <v>14009.204</v>
      </c>
      <c r="E144" s="47">
        <v>17.880325317382813</v>
      </c>
      <c r="G144" s="47">
        <v>139</v>
      </c>
      <c r="H144" s="47">
        <v>7557.6009999999997</v>
      </c>
      <c r="I144" s="47">
        <v>12</v>
      </c>
      <c r="J144" s="47">
        <v>11427.796</v>
      </c>
      <c r="K144" s="47">
        <v>16</v>
      </c>
      <c r="L144" s="47">
        <v>12.119532585144043</v>
      </c>
      <c r="M144" s="47">
        <v>18</v>
      </c>
      <c r="N144" s="49"/>
      <c r="O144" s="49"/>
      <c r="P144" s="49"/>
      <c r="Q144" s="49"/>
      <c r="R144" s="49"/>
      <c r="S144" s="49"/>
      <c r="T144" s="49"/>
      <c r="U144" s="49"/>
      <c r="V144" s="46"/>
      <c r="W144" s="46"/>
      <c r="X144" s="46"/>
      <c r="Y144" s="46"/>
    </row>
    <row r="145" spans="2:25">
      <c r="B145" s="47">
        <v>10</v>
      </c>
      <c r="C145" s="47">
        <v>7422.2939999999999</v>
      </c>
      <c r="D145" s="47">
        <v>14285.103999999999</v>
      </c>
      <c r="E145" s="47">
        <v>17.233301162719727</v>
      </c>
      <c r="G145" s="47">
        <v>140</v>
      </c>
      <c r="H145" s="47">
        <v>7557.8909999999996</v>
      </c>
      <c r="I145" s="47">
        <v>10</v>
      </c>
      <c r="J145" s="47">
        <v>11430.508</v>
      </c>
      <c r="K145" s="47">
        <v>20</v>
      </c>
      <c r="L145" s="47">
        <v>12.124018669128418</v>
      </c>
      <c r="M145" s="47">
        <v>20</v>
      </c>
      <c r="N145" s="49"/>
      <c r="O145" s="49"/>
      <c r="P145" s="49"/>
      <c r="Q145" s="49"/>
      <c r="R145" s="49"/>
      <c r="S145" s="49"/>
      <c r="T145" s="49"/>
      <c r="U145" s="49"/>
      <c r="V145" s="46"/>
      <c r="W145" s="46"/>
      <c r="X145" s="46"/>
      <c r="Y145" s="46"/>
    </row>
    <row r="146" spans="2:25">
      <c r="B146" s="47">
        <v>10</v>
      </c>
      <c r="C146" s="47">
        <v>7611.4250000000002</v>
      </c>
      <c r="D146" s="47">
        <v>13971.482</v>
      </c>
      <c r="E146" s="47">
        <v>17.710783004760742</v>
      </c>
      <c r="G146" s="47">
        <v>141</v>
      </c>
      <c r="H146" s="47">
        <v>7558.4939999999997</v>
      </c>
      <c r="I146" s="47">
        <v>10</v>
      </c>
      <c r="J146" s="47">
        <v>11447.975</v>
      </c>
      <c r="K146" s="47">
        <v>18</v>
      </c>
      <c r="L146" s="47">
        <v>12.164920806884766</v>
      </c>
      <c r="M146" s="47">
        <v>18</v>
      </c>
      <c r="N146" s="49"/>
      <c r="O146" s="49"/>
      <c r="P146" s="49"/>
      <c r="Q146" s="49"/>
      <c r="R146" s="49"/>
      <c r="S146" s="49"/>
      <c r="T146" s="49"/>
      <c r="U146" s="49"/>
      <c r="V146" s="46"/>
      <c r="W146" s="46"/>
      <c r="X146" s="46"/>
      <c r="Y146" s="46"/>
    </row>
    <row r="147" spans="2:25">
      <c r="B147" s="47">
        <v>10</v>
      </c>
      <c r="C147" s="47">
        <v>7420.5619999999999</v>
      </c>
      <c r="D147" s="47">
        <v>13833.516</v>
      </c>
      <c r="E147" s="47">
        <v>17.589786529541016</v>
      </c>
      <c r="G147" s="47">
        <v>142</v>
      </c>
      <c r="H147" s="47">
        <v>7560.4939999999997</v>
      </c>
      <c r="I147" s="47">
        <v>12</v>
      </c>
      <c r="J147" s="47">
        <v>11448.995999999999</v>
      </c>
      <c r="K147" s="47">
        <v>18</v>
      </c>
      <c r="L147" s="47">
        <v>12.205229759216309</v>
      </c>
      <c r="M147" s="47">
        <v>20</v>
      </c>
      <c r="N147" s="49"/>
      <c r="O147" s="49"/>
      <c r="P147" s="49"/>
      <c r="Q147" s="49"/>
      <c r="R147" s="49"/>
      <c r="S147" s="49"/>
      <c r="T147" s="49"/>
      <c r="U147" s="49"/>
      <c r="V147" s="46"/>
      <c r="W147" s="46"/>
      <c r="X147" s="46"/>
      <c r="Y147" s="46"/>
    </row>
    <row r="148" spans="2:25">
      <c r="B148" s="47">
        <v>10</v>
      </c>
      <c r="C148" s="47">
        <v>7176.7704999999996</v>
      </c>
      <c r="D148" s="47">
        <v>13665.522999999999</v>
      </c>
      <c r="E148" s="47">
        <v>17.211360931396484</v>
      </c>
      <c r="G148" s="47">
        <v>143</v>
      </c>
      <c r="H148" s="47">
        <v>7561.2879999999996</v>
      </c>
      <c r="I148" s="47">
        <v>12</v>
      </c>
      <c r="J148" s="47">
        <v>11452.532999999999</v>
      </c>
      <c r="K148" s="47">
        <v>18</v>
      </c>
      <c r="L148" s="47">
        <v>12.224136352539063</v>
      </c>
      <c r="M148" s="47">
        <v>18</v>
      </c>
      <c r="N148" s="49"/>
      <c r="O148" s="49"/>
      <c r="P148" s="49"/>
      <c r="Q148" s="49"/>
      <c r="R148" s="49"/>
      <c r="S148" s="49"/>
      <c r="T148" s="49"/>
      <c r="U148" s="49"/>
      <c r="V148" s="46"/>
      <c r="W148" s="46"/>
      <c r="X148" s="46"/>
      <c r="Y148" s="46"/>
    </row>
    <row r="149" spans="2:25">
      <c r="B149" s="47">
        <v>10</v>
      </c>
      <c r="C149" s="47">
        <v>7394.4885000000004</v>
      </c>
      <c r="D149" s="47">
        <v>13935.406999999999</v>
      </c>
      <c r="E149" s="47">
        <v>17.172220230102539</v>
      </c>
      <c r="G149" s="47">
        <v>144</v>
      </c>
      <c r="H149" s="47">
        <v>7561.9870000000001</v>
      </c>
      <c r="I149" s="47">
        <v>12</v>
      </c>
      <c r="J149" s="47">
        <v>11454.251</v>
      </c>
      <c r="K149" s="47">
        <v>16</v>
      </c>
      <c r="L149" s="47">
        <v>12.239339828491211</v>
      </c>
      <c r="M149" s="47">
        <v>20</v>
      </c>
      <c r="N149" s="49"/>
      <c r="O149" s="49"/>
      <c r="P149" s="49"/>
      <c r="Q149" s="49"/>
      <c r="R149" s="49"/>
      <c r="S149" s="49"/>
      <c r="T149" s="49"/>
      <c r="U149" s="49"/>
      <c r="V149" s="46"/>
      <c r="W149" s="46"/>
      <c r="X149" s="46"/>
      <c r="Y149" s="46"/>
    </row>
    <row r="150" spans="2:25">
      <c r="B150" s="47">
        <v>10</v>
      </c>
      <c r="C150" s="47">
        <v>7772.8765000000003</v>
      </c>
      <c r="D150" s="47">
        <v>13453.505999999999</v>
      </c>
      <c r="E150" s="47">
        <v>16.963405609130859</v>
      </c>
      <c r="G150" s="47">
        <v>145</v>
      </c>
      <c r="H150" s="47">
        <v>7564.3370000000004</v>
      </c>
      <c r="I150" s="47">
        <v>12</v>
      </c>
      <c r="J150" s="47">
        <v>11466.591</v>
      </c>
      <c r="K150" s="47">
        <v>20</v>
      </c>
      <c r="L150" s="47">
        <v>12.245086669921875</v>
      </c>
      <c r="M150" s="47">
        <v>18</v>
      </c>
      <c r="N150" s="49"/>
      <c r="O150" s="49"/>
      <c r="P150" s="49"/>
      <c r="Q150" s="49"/>
      <c r="R150" s="49"/>
      <c r="S150" s="49"/>
      <c r="T150" s="49"/>
      <c r="U150" s="49"/>
      <c r="V150" s="46"/>
      <c r="W150" s="46"/>
      <c r="X150" s="46"/>
      <c r="Y150" s="46"/>
    </row>
    <row r="151" spans="2:25">
      <c r="B151" s="47">
        <v>10</v>
      </c>
      <c r="C151" s="47">
        <v>7834.7629999999999</v>
      </c>
      <c r="D151" s="47">
        <v>14468.62</v>
      </c>
      <c r="E151" s="47">
        <v>17.472908020019531</v>
      </c>
      <c r="G151" s="47">
        <v>146</v>
      </c>
      <c r="H151" s="47">
        <v>7571.8869999999997</v>
      </c>
      <c r="I151" s="47">
        <v>10</v>
      </c>
      <c r="J151" s="47">
        <v>11471.838</v>
      </c>
      <c r="K151" s="47">
        <v>6</v>
      </c>
      <c r="L151" s="47">
        <v>12.272363662719727</v>
      </c>
      <c r="M151" s="47">
        <v>18</v>
      </c>
      <c r="N151" s="49"/>
      <c r="O151" s="49"/>
      <c r="P151" s="49"/>
      <c r="Q151" s="49"/>
      <c r="R151" s="49"/>
      <c r="S151" s="49"/>
      <c r="T151" s="49"/>
      <c r="U151" s="49"/>
      <c r="V151" s="46"/>
      <c r="W151" s="46"/>
      <c r="X151" s="46"/>
      <c r="Y151" s="46"/>
    </row>
    <row r="152" spans="2:25">
      <c r="B152" s="47">
        <v>10</v>
      </c>
      <c r="C152" s="47">
        <v>7644.1324999999997</v>
      </c>
      <c r="D152" s="47">
        <v>13575.35</v>
      </c>
      <c r="E152" s="47">
        <v>17.342826843261719</v>
      </c>
      <c r="G152" s="47">
        <v>147</v>
      </c>
      <c r="H152" s="47">
        <v>7574.9324999999999</v>
      </c>
      <c r="I152" s="47">
        <v>14</v>
      </c>
      <c r="J152" s="47">
        <v>11495.041999999999</v>
      </c>
      <c r="K152" s="47">
        <v>18</v>
      </c>
      <c r="L152" s="47">
        <v>12.332560539245605</v>
      </c>
      <c r="M152" s="47">
        <v>18</v>
      </c>
      <c r="N152" s="49"/>
      <c r="O152" s="49"/>
      <c r="P152" s="49"/>
      <c r="Q152" s="49"/>
      <c r="R152" s="49"/>
      <c r="S152" s="49"/>
      <c r="T152" s="49"/>
      <c r="U152" s="49"/>
      <c r="V152" s="46"/>
      <c r="W152" s="46"/>
      <c r="X152" s="46"/>
      <c r="Y152" s="46"/>
    </row>
    <row r="153" spans="2:25">
      <c r="B153" s="47">
        <v>10</v>
      </c>
      <c r="C153" s="47">
        <v>7593.415</v>
      </c>
      <c r="D153" s="47">
        <v>13597.291999999999</v>
      </c>
      <c r="E153" s="47">
        <v>17.109443664550781</v>
      </c>
      <c r="G153" s="47">
        <v>148</v>
      </c>
      <c r="H153" s="47">
        <v>7576.43</v>
      </c>
      <c r="I153" s="47">
        <v>20</v>
      </c>
      <c r="J153" s="47">
        <v>11496.522000000001</v>
      </c>
      <c r="K153" s="47">
        <v>20</v>
      </c>
      <c r="L153" s="47">
        <v>12.341717720031738</v>
      </c>
      <c r="M153" s="47">
        <v>18</v>
      </c>
      <c r="N153" s="49"/>
      <c r="O153" s="49"/>
      <c r="P153" s="49"/>
      <c r="Q153" s="49"/>
      <c r="R153" s="49"/>
      <c r="S153" s="49"/>
      <c r="T153" s="49"/>
      <c r="U153" s="49"/>
      <c r="V153" s="46"/>
      <c r="W153" s="46"/>
      <c r="X153" s="46"/>
      <c r="Y153" s="46"/>
    </row>
    <row r="154" spans="2:25">
      <c r="B154" s="47">
        <v>10</v>
      </c>
      <c r="C154" s="47">
        <v>7747.5065000000004</v>
      </c>
      <c r="D154" s="47">
        <v>13441.851000000001</v>
      </c>
      <c r="E154" s="47">
        <v>16.883964538574219</v>
      </c>
      <c r="G154" s="47">
        <v>149</v>
      </c>
      <c r="H154" s="47">
        <v>7584.6274999999996</v>
      </c>
      <c r="I154" s="47">
        <v>10</v>
      </c>
      <c r="J154" s="47">
        <v>11497.657999999999</v>
      </c>
      <c r="K154" s="47">
        <v>16</v>
      </c>
      <c r="L154" s="47">
        <v>12.349394798278809</v>
      </c>
      <c r="M154" s="47">
        <v>16</v>
      </c>
      <c r="N154" s="49"/>
      <c r="O154" s="49"/>
      <c r="P154" s="49"/>
      <c r="Q154" s="49"/>
      <c r="R154" s="49"/>
      <c r="S154" s="49"/>
      <c r="T154" s="49"/>
      <c r="U154" s="49"/>
      <c r="V154" s="46"/>
      <c r="W154" s="46"/>
      <c r="X154" s="46"/>
      <c r="Y154" s="46"/>
    </row>
    <row r="155" spans="2:25">
      <c r="B155" s="47">
        <v>10</v>
      </c>
      <c r="C155" s="47">
        <v>7893.9944999999998</v>
      </c>
      <c r="D155" s="47">
        <v>13713.004999999999</v>
      </c>
      <c r="E155" s="47">
        <v>16.824579238891602</v>
      </c>
      <c r="G155" s="47">
        <v>150</v>
      </c>
      <c r="H155" s="47">
        <v>7587.8540000000003</v>
      </c>
      <c r="I155" s="47">
        <v>12</v>
      </c>
      <c r="J155" s="47">
        <v>11498.441999999999</v>
      </c>
      <c r="K155" s="47">
        <v>20</v>
      </c>
      <c r="L155" s="47">
        <v>12.354214668273926</v>
      </c>
      <c r="M155" s="47">
        <v>18</v>
      </c>
      <c r="N155" s="49"/>
      <c r="O155" s="49"/>
      <c r="P155" s="49"/>
      <c r="Q155" s="49"/>
      <c r="R155" s="49"/>
      <c r="S155" s="49"/>
      <c r="T155" s="49"/>
      <c r="U155" s="49"/>
      <c r="V155" s="46"/>
      <c r="W155" s="46"/>
      <c r="X155" s="46"/>
      <c r="Y155" s="46"/>
    </row>
    <row r="156" spans="2:25">
      <c r="B156" s="47">
        <v>12</v>
      </c>
      <c r="C156" s="47">
        <v>7831.4155000000001</v>
      </c>
      <c r="D156" s="47">
        <v>13259.254999999999</v>
      </c>
      <c r="E156" s="47">
        <v>16.450035095214844</v>
      </c>
      <c r="G156" s="47">
        <v>151</v>
      </c>
      <c r="H156" s="47">
        <v>7588.0135</v>
      </c>
      <c r="I156" s="47">
        <v>18</v>
      </c>
      <c r="J156" s="47">
        <v>11507.633</v>
      </c>
      <c r="K156" s="47">
        <v>16</v>
      </c>
      <c r="L156" s="47">
        <v>12.355725288391113</v>
      </c>
      <c r="M156" s="47">
        <v>18</v>
      </c>
      <c r="N156" s="49"/>
      <c r="O156" s="49"/>
      <c r="P156" s="49"/>
      <c r="Q156" s="49"/>
      <c r="R156" s="49"/>
      <c r="S156" s="49"/>
      <c r="T156" s="49"/>
      <c r="U156" s="49"/>
      <c r="V156" s="46"/>
      <c r="W156" s="46"/>
      <c r="X156" s="46"/>
      <c r="Y156" s="46"/>
    </row>
    <row r="157" spans="2:25">
      <c r="B157" s="47">
        <v>12</v>
      </c>
      <c r="C157" s="47">
        <v>7423.6504999999997</v>
      </c>
      <c r="D157" s="47">
        <v>13184.223</v>
      </c>
      <c r="E157" s="47">
        <v>15.966521263122559</v>
      </c>
      <c r="G157" s="47">
        <v>152</v>
      </c>
      <c r="H157" s="47">
        <v>7588.027</v>
      </c>
      <c r="I157" s="47">
        <v>10</v>
      </c>
      <c r="J157" s="47">
        <v>11508.758</v>
      </c>
      <c r="K157" s="47">
        <v>16</v>
      </c>
      <c r="L157" s="47">
        <v>12.36133861541748</v>
      </c>
      <c r="M157" s="47">
        <v>18</v>
      </c>
      <c r="N157" s="49"/>
      <c r="O157" s="49"/>
      <c r="P157" s="49"/>
      <c r="Q157" s="49"/>
      <c r="R157" s="49"/>
      <c r="S157" s="49"/>
      <c r="T157" s="49"/>
      <c r="U157" s="49"/>
      <c r="V157" s="46"/>
      <c r="W157" s="46"/>
      <c r="X157" s="46"/>
      <c r="Y157" s="46"/>
    </row>
    <row r="158" spans="2:25">
      <c r="B158" s="47">
        <v>12</v>
      </c>
      <c r="C158" s="47">
        <v>7871.9179999999997</v>
      </c>
      <c r="D158" s="47">
        <v>13398.803</v>
      </c>
      <c r="E158" s="47">
        <v>16.397811889648438</v>
      </c>
      <c r="G158" s="47">
        <v>153</v>
      </c>
      <c r="H158" s="47">
        <v>7593.415</v>
      </c>
      <c r="I158" s="47">
        <v>10</v>
      </c>
      <c r="J158" s="47">
        <v>11512.828</v>
      </c>
      <c r="K158" s="47">
        <v>20</v>
      </c>
      <c r="L158" s="47">
        <v>12.365097045898438</v>
      </c>
      <c r="M158" s="47">
        <v>18</v>
      </c>
      <c r="N158" s="49"/>
      <c r="O158" s="49"/>
      <c r="P158" s="49"/>
      <c r="Q158" s="49"/>
      <c r="R158" s="49"/>
      <c r="S158" s="49"/>
      <c r="T158" s="49"/>
      <c r="U158" s="49"/>
      <c r="V158" s="46"/>
      <c r="W158" s="46"/>
      <c r="X158" s="46"/>
      <c r="Y158" s="46"/>
    </row>
    <row r="159" spans="2:25">
      <c r="B159" s="47">
        <v>12</v>
      </c>
      <c r="C159" s="47">
        <v>7990.6085000000003</v>
      </c>
      <c r="D159" s="47">
        <v>13684.563</v>
      </c>
      <c r="E159" s="47">
        <v>16.734657287597656</v>
      </c>
      <c r="G159" s="47">
        <v>154</v>
      </c>
      <c r="H159" s="47">
        <v>7594.0339999999997</v>
      </c>
      <c r="I159" s="47">
        <v>12</v>
      </c>
      <c r="J159" s="47">
        <v>11520.924999999999</v>
      </c>
      <c r="K159" s="47">
        <v>18</v>
      </c>
      <c r="L159" s="47">
        <v>12.380829811096191</v>
      </c>
      <c r="M159" s="47">
        <v>18</v>
      </c>
      <c r="N159" s="49"/>
      <c r="O159" s="49"/>
      <c r="P159" s="49"/>
      <c r="Q159" s="49"/>
      <c r="R159" s="49"/>
      <c r="S159" s="49"/>
      <c r="T159" s="49"/>
      <c r="U159" s="49"/>
      <c r="V159" s="46"/>
      <c r="W159" s="46"/>
      <c r="X159" s="46"/>
      <c r="Y159" s="46"/>
    </row>
    <row r="160" spans="2:25">
      <c r="B160" s="47">
        <v>12</v>
      </c>
      <c r="C160" s="47">
        <v>7470.3545000000004</v>
      </c>
      <c r="D160" s="47">
        <v>13874.834999999999</v>
      </c>
      <c r="E160" s="47">
        <v>16.353219985961914</v>
      </c>
      <c r="G160" s="47">
        <v>155</v>
      </c>
      <c r="H160" s="47">
        <v>7594.3635000000004</v>
      </c>
      <c r="I160" s="47">
        <v>12</v>
      </c>
      <c r="J160" s="47">
        <v>11542.385</v>
      </c>
      <c r="K160" s="47">
        <v>16</v>
      </c>
      <c r="L160" s="47">
        <v>12.389643669128418</v>
      </c>
      <c r="M160" s="47">
        <v>20</v>
      </c>
      <c r="N160" s="49"/>
      <c r="O160" s="49"/>
      <c r="P160" s="49"/>
      <c r="Q160" s="49"/>
      <c r="R160" s="49"/>
      <c r="S160" s="49"/>
      <c r="T160" s="49"/>
      <c r="U160" s="49"/>
      <c r="V160" s="46"/>
      <c r="W160" s="46"/>
      <c r="X160" s="46"/>
      <c r="Y160" s="46"/>
    </row>
    <row r="161" spans="2:25">
      <c r="B161" s="47">
        <v>12</v>
      </c>
      <c r="C161" s="47">
        <v>7430.6975000000002</v>
      </c>
      <c r="D161" s="47">
        <v>12791.697</v>
      </c>
      <c r="E161" s="47">
        <v>16.193584442138672</v>
      </c>
      <c r="G161" s="47">
        <v>156</v>
      </c>
      <c r="H161" s="47">
        <v>7599.8755000000001</v>
      </c>
      <c r="I161" s="47">
        <v>16</v>
      </c>
      <c r="J161" s="47">
        <v>11547.934999999999</v>
      </c>
      <c r="K161" s="47">
        <v>18</v>
      </c>
      <c r="L161" s="47">
        <v>12.39626407623291</v>
      </c>
      <c r="M161" s="47">
        <v>18</v>
      </c>
      <c r="N161" s="49"/>
      <c r="O161" s="49"/>
      <c r="P161" s="49"/>
      <c r="Q161" s="49"/>
      <c r="R161" s="49"/>
      <c r="S161" s="49"/>
      <c r="T161" s="49"/>
      <c r="U161" s="49"/>
      <c r="V161" s="46"/>
      <c r="W161" s="46"/>
      <c r="X161" s="46"/>
      <c r="Y161" s="46"/>
    </row>
    <row r="162" spans="2:25">
      <c r="B162" s="47">
        <v>12</v>
      </c>
      <c r="C162" s="47">
        <v>7822.6620000000003</v>
      </c>
      <c r="D162" s="47">
        <v>13610.013999999999</v>
      </c>
      <c r="E162" s="47">
        <v>16.573337554931641</v>
      </c>
      <c r="G162" s="47">
        <v>157</v>
      </c>
      <c r="H162" s="47">
        <v>7599.99</v>
      </c>
      <c r="I162" s="47">
        <v>12</v>
      </c>
      <c r="J162" s="47">
        <v>11556.199000000001</v>
      </c>
      <c r="K162" s="47">
        <v>6</v>
      </c>
      <c r="L162" s="47">
        <v>12.404642105102539</v>
      </c>
      <c r="M162" s="47">
        <v>18</v>
      </c>
      <c r="N162" s="49"/>
      <c r="O162" s="49"/>
      <c r="P162" s="49"/>
      <c r="Q162" s="49"/>
      <c r="R162" s="49"/>
      <c r="S162" s="49"/>
      <c r="T162" s="49"/>
      <c r="U162" s="49"/>
      <c r="V162" s="46"/>
      <c r="W162" s="46"/>
      <c r="X162" s="46"/>
      <c r="Y162" s="46"/>
    </row>
    <row r="163" spans="2:25">
      <c r="B163" s="47">
        <v>12</v>
      </c>
      <c r="C163" s="47">
        <v>7599.99</v>
      </c>
      <c r="D163" s="47">
        <v>13592.626</v>
      </c>
      <c r="E163" s="47">
        <v>16.358798980712891</v>
      </c>
      <c r="G163" s="47">
        <v>158</v>
      </c>
      <c r="H163" s="47">
        <v>7602.01</v>
      </c>
      <c r="I163" s="47">
        <v>10</v>
      </c>
      <c r="J163" s="47">
        <v>11571.634</v>
      </c>
      <c r="K163" s="47">
        <v>20</v>
      </c>
      <c r="L163" s="47">
        <v>12.405790328979492</v>
      </c>
      <c r="M163" s="47">
        <v>18</v>
      </c>
      <c r="N163" s="49"/>
      <c r="O163" s="49"/>
      <c r="P163" s="49"/>
      <c r="Q163" s="49"/>
      <c r="R163" s="49"/>
      <c r="S163" s="49"/>
      <c r="T163" s="49"/>
      <c r="U163" s="49"/>
      <c r="V163" s="46"/>
      <c r="W163" s="46"/>
      <c r="X163" s="46"/>
      <c r="Y163" s="46"/>
    </row>
    <row r="164" spans="2:25">
      <c r="B164" s="47">
        <v>12</v>
      </c>
      <c r="C164" s="47">
        <v>7376.8654999999999</v>
      </c>
      <c r="D164" s="47">
        <v>13944.832</v>
      </c>
      <c r="E164" s="47">
        <v>17.613492965698242</v>
      </c>
      <c r="G164" s="47">
        <v>159</v>
      </c>
      <c r="H164" s="47">
        <v>7605.9425000000001</v>
      </c>
      <c r="I164" s="47">
        <v>12</v>
      </c>
      <c r="J164" s="47">
        <v>11579.456</v>
      </c>
      <c r="K164" s="47">
        <v>6</v>
      </c>
      <c r="L164" s="47">
        <v>12.410969734191895</v>
      </c>
      <c r="M164" s="47">
        <v>18</v>
      </c>
      <c r="N164" s="49"/>
      <c r="O164" s="49"/>
      <c r="P164" s="49"/>
      <c r="Q164" s="49"/>
      <c r="R164" s="49"/>
      <c r="S164" s="49"/>
      <c r="T164" s="49"/>
      <c r="U164" s="49"/>
      <c r="V164" s="46"/>
      <c r="W164" s="46"/>
      <c r="X164" s="46"/>
      <c r="Y164" s="46"/>
    </row>
    <row r="165" spans="2:25">
      <c r="B165" s="47">
        <v>12</v>
      </c>
      <c r="C165" s="47">
        <v>7637.3810000000003</v>
      </c>
      <c r="D165" s="47">
        <v>13227.101000000001</v>
      </c>
      <c r="E165" s="47">
        <v>16.555883407592773</v>
      </c>
      <c r="G165" s="47">
        <v>160</v>
      </c>
      <c r="H165" s="47">
        <v>7611.4250000000002</v>
      </c>
      <c r="I165" s="47">
        <v>10</v>
      </c>
      <c r="J165" s="47">
        <v>11590.161</v>
      </c>
      <c r="K165" s="47">
        <v>18</v>
      </c>
      <c r="L165" s="47">
        <v>12.443376541137695</v>
      </c>
      <c r="M165" s="47">
        <v>16</v>
      </c>
      <c r="V165" s="46"/>
      <c r="W165" s="46"/>
      <c r="X165" s="46"/>
      <c r="Y165" s="46"/>
    </row>
    <row r="166" spans="2:25">
      <c r="B166" s="47">
        <v>12</v>
      </c>
      <c r="C166" s="47">
        <v>7564.3370000000004</v>
      </c>
      <c r="D166" s="47">
        <v>13263.112999999999</v>
      </c>
      <c r="E166" s="47">
        <v>16.526168823242188</v>
      </c>
      <c r="G166" s="47">
        <v>161</v>
      </c>
      <c r="H166" s="47">
        <v>7630.9785000000002</v>
      </c>
      <c r="I166" s="47">
        <v>10</v>
      </c>
      <c r="J166" s="47">
        <v>11597.001</v>
      </c>
      <c r="K166" s="47">
        <v>16</v>
      </c>
      <c r="L166" s="47">
        <v>12.460427284240723</v>
      </c>
      <c r="M166" s="47">
        <v>18</v>
      </c>
      <c r="V166" s="46"/>
      <c r="W166" s="46"/>
      <c r="X166" s="46"/>
      <c r="Y166" s="46"/>
    </row>
    <row r="167" spans="2:25">
      <c r="B167" s="47">
        <v>12</v>
      </c>
      <c r="C167" s="47">
        <v>7669.4989999999998</v>
      </c>
      <c r="D167" s="47">
        <v>13348.252</v>
      </c>
      <c r="E167" s="47">
        <v>16.310007095336914</v>
      </c>
      <c r="G167" s="47">
        <v>162</v>
      </c>
      <c r="H167" s="47">
        <v>7637.3810000000003</v>
      </c>
      <c r="I167" s="47">
        <v>12</v>
      </c>
      <c r="J167" s="47">
        <v>11601.86</v>
      </c>
      <c r="K167" s="47">
        <v>16</v>
      </c>
      <c r="L167" s="47">
        <v>12.489338874816895</v>
      </c>
      <c r="M167" s="47">
        <v>20</v>
      </c>
      <c r="V167" s="46"/>
      <c r="W167" s="46"/>
      <c r="X167" s="46"/>
      <c r="Y167" s="46"/>
    </row>
    <row r="168" spans="2:25">
      <c r="B168" s="47">
        <v>12</v>
      </c>
      <c r="C168" s="47">
        <v>7789.3739999999998</v>
      </c>
      <c r="D168" s="47">
        <v>13386.439</v>
      </c>
      <c r="E168" s="47">
        <v>17.447946548461914</v>
      </c>
      <c r="G168" s="47">
        <v>163</v>
      </c>
      <c r="H168" s="47">
        <v>7644.1324999999997</v>
      </c>
      <c r="I168" s="47">
        <v>10</v>
      </c>
      <c r="J168" s="47">
        <v>11605.085999999999</v>
      </c>
      <c r="K168" s="47">
        <v>20</v>
      </c>
      <c r="L168" s="47">
        <v>12.504961967468262</v>
      </c>
      <c r="M168" s="47">
        <v>18</v>
      </c>
      <c r="V168" s="46"/>
      <c r="W168" s="46"/>
      <c r="X168" s="46"/>
      <c r="Y168" s="46"/>
    </row>
    <row r="169" spans="2:25">
      <c r="B169" s="47">
        <v>12</v>
      </c>
      <c r="C169" s="47">
        <v>7980.9835000000003</v>
      </c>
      <c r="D169" s="47">
        <v>13983.606</v>
      </c>
      <c r="E169" s="47">
        <v>16.051530838012695</v>
      </c>
      <c r="G169" s="47">
        <v>164</v>
      </c>
      <c r="H169" s="47">
        <v>7647.6760000000004</v>
      </c>
      <c r="I169" s="47">
        <v>12</v>
      </c>
      <c r="J169" s="47">
        <v>11607.431</v>
      </c>
      <c r="K169" s="47">
        <v>20</v>
      </c>
      <c r="L169" s="47">
        <v>12.529848098754883</v>
      </c>
      <c r="M169" s="47">
        <v>20</v>
      </c>
      <c r="V169" s="46"/>
      <c r="W169" s="46"/>
      <c r="X169" s="46"/>
      <c r="Y169" s="46"/>
    </row>
    <row r="170" spans="2:25">
      <c r="B170" s="47">
        <v>12</v>
      </c>
      <c r="C170" s="47">
        <v>7690.9920000000002</v>
      </c>
      <c r="D170" s="47">
        <v>13544.734</v>
      </c>
      <c r="E170" s="47">
        <v>16.705699920654297</v>
      </c>
      <c r="G170" s="47">
        <v>165</v>
      </c>
      <c r="H170" s="47">
        <v>7655.68</v>
      </c>
      <c r="I170" s="47">
        <v>16</v>
      </c>
      <c r="J170" s="47">
        <v>11609.155000000001</v>
      </c>
      <c r="K170" s="47">
        <v>20</v>
      </c>
      <c r="L170" s="47">
        <v>12.538472175598145</v>
      </c>
      <c r="M170" s="47">
        <v>16</v>
      </c>
      <c r="V170" s="46"/>
      <c r="W170" s="46"/>
      <c r="X170" s="46"/>
      <c r="Y170" s="46"/>
    </row>
    <row r="171" spans="2:25">
      <c r="B171" s="47">
        <v>12</v>
      </c>
      <c r="C171" s="47">
        <v>7997.4234999999999</v>
      </c>
      <c r="D171" s="47">
        <v>12520.357</v>
      </c>
      <c r="E171" s="47">
        <v>15.602725028991699</v>
      </c>
      <c r="G171" s="47">
        <v>166</v>
      </c>
      <c r="H171" s="47">
        <v>7660.3879999999999</v>
      </c>
      <c r="I171" s="47">
        <v>10</v>
      </c>
      <c r="J171" s="47">
        <v>11611.392</v>
      </c>
      <c r="K171" s="47">
        <v>18</v>
      </c>
      <c r="L171" s="47">
        <v>12.544685363769531</v>
      </c>
      <c r="M171" s="47">
        <v>18</v>
      </c>
      <c r="V171" s="46"/>
      <c r="W171" s="46"/>
      <c r="X171" s="46"/>
      <c r="Y171" s="46"/>
    </row>
    <row r="172" spans="2:25">
      <c r="B172" s="47">
        <v>12</v>
      </c>
      <c r="C172" s="47">
        <v>7906.3665000000001</v>
      </c>
      <c r="D172" s="47">
        <v>13457.795</v>
      </c>
      <c r="E172" s="47">
        <v>16.77427864074707</v>
      </c>
      <c r="G172" s="47">
        <v>167</v>
      </c>
      <c r="H172" s="47">
        <v>7660.6019999999999</v>
      </c>
      <c r="I172" s="47">
        <v>16</v>
      </c>
      <c r="J172" s="47">
        <v>11635.745000000001</v>
      </c>
      <c r="K172" s="47">
        <v>18</v>
      </c>
      <c r="L172" s="47">
        <v>12.548006057739258</v>
      </c>
      <c r="M172" s="47">
        <v>16</v>
      </c>
      <c r="V172" s="46"/>
      <c r="W172" s="46"/>
      <c r="X172" s="46"/>
      <c r="Y172" s="46"/>
    </row>
    <row r="173" spans="2:25">
      <c r="B173" s="47">
        <v>12</v>
      </c>
      <c r="C173" s="47">
        <v>7926.7494999999999</v>
      </c>
      <c r="D173" s="47">
        <v>13949.394</v>
      </c>
      <c r="E173" s="47">
        <v>16.217296600341797</v>
      </c>
      <c r="G173" s="47">
        <v>168</v>
      </c>
      <c r="H173" s="47">
        <v>7663.6270000000004</v>
      </c>
      <c r="I173" s="47">
        <v>12</v>
      </c>
      <c r="J173" s="47">
        <v>11637.455</v>
      </c>
      <c r="K173" s="47">
        <v>16</v>
      </c>
      <c r="L173" s="47">
        <v>12.571346282958984</v>
      </c>
      <c r="M173" s="47">
        <v>16</v>
      </c>
      <c r="V173" s="46"/>
      <c r="W173" s="46"/>
      <c r="X173" s="46"/>
      <c r="Y173" s="46"/>
    </row>
    <row r="174" spans="2:25">
      <c r="B174" s="47">
        <v>12</v>
      </c>
      <c r="C174" s="47">
        <v>7929.518</v>
      </c>
      <c r="D174" s="47">
        <v>13770.76</v>
      </c>
      <c r="E174" s="47">
        <v>16.321182250976563</v>
      </c>
      <c r="G174" s="47">
        <v>169</v>
      </c>
      <c r="H174" s="47">
        <v>7669.4989999999998</v>
      </c>
      <c r="I174" s="47">
        <v>12</v>
      </c>
      <c r="J174" s="47">
        <v>11670.454</v>
      </c>
      <c r="K174" s="47">
        <v>20</v>
      </c>
      <c r="L174" s="47">
        <v>12.579401969909668</v>
      </c>
      <c r="M174" s="47">
        <v>16</v>
      </c>
      <c r="V174" s="46"/>
      <c r="W174" s="46"/>
      <c r="X174" s="46"/>
      <c r="Y174" s="46"/>
    </row>
    <row r="175" spans="2:25">
      <c r="B175" s="47">
        <v>12</v>
      </c>
      <c r="C175" s="47">
        <v>7291.5950000000003</v>
      </c>
      <c r="D175" s="47">
        <v>13018.929</v>
      </c>
      <c r="E175" s="47">
        <v>16.710329055786133</v>
      </c>
      <c r="G175" s="47">
        <v>170</v>
      </c>
      <c r="H175" s="47">
        <v>7673.0680000000002</v>
      </c>
      <c r="I175" s="47">
        <v>12</v>
      </c>
      <c r="J175" s="47">
        <v>11671.893</v>
      </c>
      <c r="K175" s="47">
        <v>16</v>
      </c>
      <c r="L175" s="47">
        <v>12.583495140075684</v>
      </c>
      <c r="M175" s="47">
        <v>16</v>
      </c>
      <c r="V175" s="46"/>
      <c r="W175" s="46"/>
      <c r="X175" s="46"/>
      <c r="Y175" s="46"/>
    </row>
    <row r="176" spans="2:25">
      <c r="B176" s="47">
        <v>12</v>
      </c>
      <c r="C176" s="47">
        <v>7920.7520000000004</v>
      </c>
      <c r="D176" s="47">
        <v>13481.324000000001</v>
      </c>
      <c r="E176" s="47">
        <v>16.542394638061523</v>
      </c>
      <c r="G176" s="47">
        <v>171</v>
      </c>
      <c r="H176" s="47">
        <v>7673.2749999999996</v>
      </c>
      <c r="I176" s="47">
        <v>12</v>
      </c>
      <c r="J176" s="47">
        <v>11681.581</v>
      </c>
      <c r="K176" s="47">
        <v>18</v>
      </c>
      <c r="L176" s="47">
        <v>12.594945907592773</v>
      </c>
      <c r="M176" s="47">
        <v>18</v>
      </c>
      <c r="V176" s="46"/>
      <c r="W176" s="46"/>
      <c r="X176" s="46"/>
      <c r="Y176" s="46"/>
    </row>
    <row r="177" spans="2:25">
      <c r="B177" s="47">
        <v>12</v>
      </c>
      <c r="C177" s="47">
        <v>7673.0680000000002</v>
      </c>
      <c r="D177" s="47">
        <v>13277.457</v>
      </c>
      <c r="E177" s="47">
        <v>16.502368927001953</v>
      </c>
      <c r="G177" s="47">
        <v>172</v>
      </c>
      <c r="H177" s="47">
        <v>7679.665</v>
      </c>
      <c r="I177" s="47">
        <v>10</v>
      </c>
      <c r="J177" s="47">
        <v>11682.271000000001</v>
      </c>
      <c r="K177" s="47">
        <v>16</v>
      </c>
      <c r="L177" s="47">
        <v>12.616076469421387</v>
      </c>
      <c r="M177" s="47">
        <v>18</v>
      </c>
      <c r="V177" s="46"/>
      <c r="W177" s="46"/>
      <c r="X177" s="46"/>
      <c r="Y177" s="46"/>
    </row>
    <row r="178" spans="2:25">
      <c r="B178" s="47">
        <v>12</v>
      </c>
      <c r="C178" s="47">
        <v>8110.0055000000002</v>
      </c>
      <c r="D178" s="47">
        <v>13790.116</v>
      </c>
      <c r="E178" s="47">
        <v>17.059852600097656</v>
      </c>
      <c r="G178" s="47">
        <v>173</v>
      </c>
      <c r="H178" s="47">
        <v>7680.8204999999998</v>
      </c>
      <c r="I178" s="47">
        <v>14</v>
      </c>
      <c r="J178" s="47">
        <v>11682.284</v>
      </c>
      <c r="K178" s="47">
        <v>18</v>
      </c>
      <c r="L178" s="47">
        <v>12.617484092712402</v>
      </c>
      <c r="M178" s="47">
        <v>18</v>
      </c>
      <c r="V178" s="46"/>
      <c r="W178" s="46"/>
      <c r="X178" s="46"/>
      <c r="Y178" s="46"/>
    </row>
    <row r="179" spans="2:25">
      <c r="B179" s="47">
        <v>12</v>
      </c>
      <c r="C179" s="47">
        <v>7695.5725000000002</v>
      </c>
      <c r="D179" s="47">
        <v>15034.82</v>
      </c>
      <c r="E179" s="47">
        <v>17.713069915771484</v>
      </c>
      <c r="G179" s="47">
        <v>174</v>
      </c>
      <c r="H179" s="47">
        <v>7681.4960000000001</v>
      </c>
      <c r="I179" s="47">
        <v>14</v>
      </c>
      <c r="J179" s="47">
        <v>11690.396000000001</v>
      </c>
      <c r="K179" s="47">
        <v>16</v>
      </c>
      <c r="L179" s="47">
        <v>12.655155181884766</v>
      </c>
      <c r="M179" s="47">
        <v>18</v>
      </c>
      <c r="V179" s="46"/>
      <c r="W179" s="46"/>
      <c r="X179" s="46"/>
      <c r="Y179" s="46"/>
    </row>
    <row r="180" spans="2:25">
      <c r="B180" s="47">
        <v>12</v>
      </c>
      <c r="C180" s="47">
        <v>7594.3635000000004</v>
      </c>
      <c r="D180" s="47">
        <v>12811.433000000001</v>
      </c>
      <c r="E180" s="47">
        <v>16.030097961425781</v>
      </c>
      <c r="G180" s="47">
        <v>175</v>
      </c>
      <c r="H180" s="47">
        <v>7684.2120000000004</v>
      </c>
      <c r="I180" s="47">
        <v>20</v>
      </c>
      <c r="J180" s="47">
        <v>11691.415000000001</v>
      </c>
      <c r="K180" s="47">
        <v>16</v>
      </c>
      <c r="L180" s="47">
        <v>12.656781196594238</v>
      </c>
      <c r="M180" s="47">
        <v>16</v>
      </c>
      <c r="V180" s="46"/>
      <c r="W180" s="46"/>
      <c r="X180" s="46"/>
      <c r="Y180" s="46"/>
    </row>
    <row r="181" spans="2:25">
      <c r="B181" s="47">
        <v>12</v>
      </c>
      <c r="C181" s="47">
        <v>7605.9425000000001</v>
      </c>
      <c r="D181" s="47">
        <v>14121.445</v>
      </c>
      <c r="E181" s="47">
        <v>17.684995651245117</v>
      </c>
      <c r="G181" s="47">
        <v>176</v>
      </c>
      <c r="H181" s="47">
        <v>7685.6925000000001</v>
      </c>
      <c r="I181" s="47">
        <v>12</v>
      </c>
      <c r="J181" s="47">
        <v>11693.453</v>
      </c>
      <c r="K181" s="47">
        <v>16</v>
      </c>
      <c r="L181" s="47">
        <v>12.680577278137207</v>
      </c>
      <c r="M181" s="47">
        <v>18</v>
      </c>
      <c r="V181" s="46"/>
      <c r="W181" s="46"/>
      <c r="X181" s="46"/>
      <c r="Y181" s="46"/>
    </row>
    <row r="182" spans="2:25">
      <c r="B182" s="47">
        <v>12</v>
      </c>
      <c r="C182" s="47">
        <v>7561.9870000000001</v>
      </c>
      <c r="D182" s="47">
        <v>12920.16</v>
      </c>
      <c r="E182" s="47">
        <v>16.924320220947266</v>
      </c>
      <c r="G182" s="47">
        <v>177</v>
      </c>
      <c r="H182" s="47">
        <v>7690.9920000000002</v>
      </c>
      <c r="I182" s="47">
        <v>12</v>
      </c>
      <c r="J182" s="47">
        <v>11722.093999999999</v>
      </c>
      <c r="K182" s="47">
        <v>16</v>
      </c>
      <c r="L182" s="47">
        <v>12.691671371459961</v>
      </c>
      <c r="M182" s="47">
        <v>18</v>
      </c>
      <c r="V182" s="46"/>
      <c r="W182" s="46"/>
      <c r="X182" s="46"/>
      <c r="Y182" s="46"/>
    </row>
    <row r="183" spans="2:25">
      <c r="B183" s="47">
        <v>12</v>
      </c>
      <c r="C183" s="47">
        <v>7723.9229999999998</v>
      </c>
      <c r="D183" s="47">
        <v>14266.257</v>
      </c>
      <c r="E183" s="47">
        <v>18.10212516784668</v>
      </c>
      <c r="G183" s="47">
        <v>178</v>
      </c>
      <c r="H183" s="47">
        <v>7694.259</v>
      </c>
      <c r="I183" s="47">
        <v>12</v>
      </c>
      <c r="J183" s="47">
        <v>11724.33</v>
      </c>
      <c r="K183" s="47">
        <v>20</v>
      </c>
      <c r="L183" s="47">
        <v>12.711462020874023</v>
      </c>
      <c r="M183" s="47">
        <v>16</v>
      </c>
    </row>
    <row r="184" spans="2:25">
      <c r="B184" s="47">
        <v>12</v>
      </c>
      <c r="C184" s="47">
        <v>8088.2809999999999</v>
      </c>
      <c r="D184" s="47">
        <v>14474.132</v>
      </c>
      <c r="E184" s="47">
        <v>18.844717025756836</v>
      </c>
      <c r="G184" s="47">
        <v>179</v>
      </c>
      <c r="H184" s="47">
        <v>7695.5725000000002</v>
      </c>
      <c r="I184" s="47">
        <v>12</v>
      </c>
      <c r="J184" s="47">
        <v>11740.727999999999</v>
      </c>
      <c r="K184" s="47">
        <v>16</v>
      </c>
      <c r="L184" s="47">
        <v>12.711570739746094</v>
      </c>
      <c r="M184" s="47">
        <v>16</v>
      </c>
    </row>
    <row r="185" spans="2:25">
      <c r="B185" s="47">
        <v>12</v>
      </c>
      <c r="C185" s="47">
        <v>7561.2879999999996</v>
      </c>
      <c r="D185" s="47">
        <v>13532.976000000001</v>
      </c>
      <c r="E185" s="47">
        <v>16.441385269165039</v>
      </c>
      <c r="G185" s="47">
        <v>180</v>
      </c>
      <c r="H185" s="47">
        <v>7702.5460000000003</v>
      </c>
      <c r="I185" s="47">
        <v>10</v>
      </c>
      <c r="J185" s="47">
        <v>11743.755999999999</v>
      </c>
      <c r="K185" s="47">
        <v>20</v>
      </c>
      <c r="L185" s="47">
        <v>12.715810775756836</v>
      </c>
      <c r="M185" s="47">
        <v>18</v>
      </c>
    </row>
    <row r="186" spans="2:25">
      <c r="B186" s="47">
        <v>12</v>
      </c>
      <c r="C186" s="47">
        <v>7721.82</v>
      </c>
      <c r="D186" s="47">
        <v>13464.291999999999</v>
      </c>
      <c r="E186" s="47">
        <v>17.178981781005859</v>
      </c>
      <c r="G186" s="47">
        <v>181</v>
      </c>
      <c r="H186" s="47">
        <v>7715.0510000000004</v>
      </c>
      <c r="I186" s="47">
        <v>12</v>
      </c>
      <c r="J186" s="47">
        <v>11746.727999999999</v>
      </c>
      <c r="K186" s="47">
        <v>20</v>
      </c>
      <c r="L186" s="47">
        <v>12.717411994934082</v>
      </c>
      <c r="M186" s="47">
        <v>16</v>
      </c>
    </row>
    <row r="187" spans="2:25">
      <c r="B187" s="47">
        <v>12</v>
      </c>
      <c r="C187" s="47">
        <v>7673.2749999999996</v>
      </c>
      <c r="D187" s="47">
        <v>14321.803</v>
      </c>
      <c r="E187" s="47">
        <v>17.18211555480957</v>
      </c>
      <c r="G187" s="47">
        <v>182</v>
      </c>
      <c r="H187" s="47">
        <v>7720.375</v>
      </c>
      <c r="I187" s="47">
        <v>18</v>
      </c>
      <c r="J187" s="47">
        <v>11752.465</v>
      </c>
      <c r="K187" s="47">
        <v>18</v>
      </c>
      <c r="L187" s="47">
        <v>12.726799011230469</v>
      </c>
      <c r="M187" s="47">
        <v>18</v>
      </c>
    </row>
    <row r="188" spans="2:25">
      <c r="B188" s="47">
        <v>12</v>
      </c>
      <c r="C188" s="47">
        <v>7925.9695000000002</v>
      </c>
      <c r="D188" s="47">
        <v>13480.195</v>
      </c>
      <c r="E188" s="47">
        <v>16.933576583862305</v>
      </c>
      <c r="G188" s="47">
        <v>183</v>
      </c>
      <c r="H188" s="47">
        <v>7721.82</v>
      </c>
      <c r="I188" s="47">
        <v>12</v>
      </c>
      <c r="J188" s="47">
        <v>11758.232</v>
      </c>
      <c r="K188" s="47">
        <v>14</v>
      </c>
      <c r="L188" s="47">
        <v>12.746869087219238</v>
      </c>
      <c r="M188" s="47">
        <v>20</v>
      </c>
    </row>
    <row r="189" spans="2:25">
      <c r="B189" s="47">
        <v>12</v>
      </c>
      <c r="C189" s="47">
        <v>7906.857</v>
      </c>
      <c r="D189" s="47">
        <v>13313.447</v>
      </c>
      <c r="E189" s="47">
        <v>15.810946464538574</v>
      </c>
      <c r="G189" s="47">
        <v>184</v>
      </c>
      <c r="H189" s="47">
        <v>7723.9229999999998</v>
      </c>
      <c r="I189" s="47">
        <v>12</v>
      </c>
      <c r="J189" s="47">
        <v>11759.427</v>
      </c>
      <c r="K189" s="47">
        <v>20</v>
      </c>
      <c r="L189" s="47">
        <v>12.750140190124512</v>
      </c>
      <c r="M189" s="47">
        <v>20</v>
      </c>
    </row>
    <row r="190" spans="2:25">
      <c r="B190" s="47">
        <v>12</v>
      </c>
      <c r="C190" s="47">
        <v>7535.7534999999998</v>
      </c>
      <c r="D190" s="47">
        <v>13482.441999999999</v>
      </c>
      <c r="E190" s="47">
        <v>16.168838500976563</v>
      </c>
      <c r="G190" s="47">
        <v>185</v>
      </c>
      <c r="H190" s="47">
        <v>7747.5065000000004</v>
      </c>
      <c r="I190" s="47">
        <v>10</v>
      </c>
      <c r="J190" s="47">
        <v>11760.489</v>
      </c>
      <c r="K190" s="47">
        <v>18</v>
      </c>
      <c r="L190" s="47">
        <v>12.764886856079102</v>
      </c>
      <c r="M190" s="47">
        <v>18</v>
      </c>
    </row>
    <row r="191" spans="2:25">
      <c r="B191" s="47">
        <v>12</v>
      </c>
      <c r="C191" s="47">
        <v>8007.4264999999996</v>
      </c>
      <c r="D191" s="47">
        <v>13022.605</v>
      </c>
      <c r="E191" s="47">
        <v>16.349237442016602</v>
      </c>
      <c r="G191" s="47">
        <v>186</v>
      </c>
      <c r="H191" s="47">
        <v>7756.9759999999997</v>
      </c>
      <c r="I191" s="47">
        <v>16</v>
      </c>
      <c r="J191" s="47">
        <v>11761.902</v>
      </c>
      <c r="K191" s="47">
        <v>16</v>
      </c>
      <c r="L191" s="47">
        <v>12.775029182434082</v>
      </c>
      <c r="M191" s="47">
        <v>16</v>
      </c>
    </row>
    <row r="192" spans="2:25">
      <c r="B192" s="47">
        <v>12</v>
      </c>
      <c r="C192" s="47">
        <v>7594.0339999999997</v>
      </c>
      <c r="D192" s="47">
        <v>12586.362999999999</v>
      </c>
      <c r="E192" s="47">
        <v>15.91607666015625</v>
      </c>
      <c r="G192" s="47">
        <v>187</v>
      </c>
      <c r="H192" s="47">
        <v>7759.7629999999999</v>
      </c>
      <c r="I192" s="47">
        <v>12</v>
      </c>
      <c r="J192" s="47">
        <v>11765.183000000001</v>
      </c>
      <c r="K192" s="47">
        <v>20</v>
      </c>
      <c r="L192" s="47">
        <v>12.794351577758789</v>
      </c>
      <c r="M192" s="47">
        <v>20</v>
      </c>
    </row>
    <row r="193" spans="2:13">
      <c r="B193" s="47">
        <v>12</v>
      </c>
      <c r="C193" s="47">
        <v>8309.5565000000006</v>
      </c>
      <c r="D193" s="47">
        <v>13793.177</v>
      </c>
      <c r="E193" s="47">
        <v>17.117164611816406</v>
      </c>
      <c r="G193" s="47">
        <v>188</v>
      </c>
      <c r="H193" s="47">
        <v>7768.1225000000004</v>
      </c>
      <c r="I193" s="47">
        <v>10</v>
      </c>
      <c r="J193" s="47">
        <v>11782.627</v>
      </c>
      <c r="K193" s="47">
        <v>20</v>
      </c>
      <c r="L193" s="47">
        <v>12.794976234436035</v>
      </c>
      <c r="M193" s="47">
        <v>18</v>
      </c>
    </row>
    <row r="194" spans="2:13">
      <c r="B194" s="47">
        <v>12</v>
      </c>
      <c r="C194" s="47">
        <v>7715.0510000000004</v>
      </c>
      <c r="D194" s="47">
        <v>13210.41</v>
      </c>
      <c r="E194" s="47">
        <v>17.093143463134766</v>
      </c>
      <c r="G194" s="47">
        <v>189</v>
      </c>
      <c r="H194" s="47">
        <v>7772.8765000000003</v>
      </c>
      <c r="I194" s="47">
        <v>10</v>
      </c>
      <c r="J194" s="47">
        <v>11784.736000000001</v>
      </c>
      <c r="K194" s="47">
        <v>14</v>
      </c>
      <c r="L194" s="47">
        <v>12.876514434814453</v>
      </c>
      <c r="M194" s="47">
        <v>16</v>
      </c>
    </row>
    <row r="195" spans="2:13">
      <c r="B195" s="47">
        <v>12</v>
      </c>
      <c r="C195" s="47">
        <v>7694.259</v>
      </c>
      <c r="D195" s="47">
        <v>14453.948</v>
      </c>
      <c r="E195" s="47">
        <v>17.735492706298828</v>
      </c>
      <c r="G195" s="47">
        <v>190</v>
      </c>
      <c r="H195" s="47">
        <v>7774.1360000000004</v>
      </c>
      <c r="I195" s="47">
        <v>18</v>
      </c>
      <c r="J195" s="47">
        <v>11791.772999999999</v>
      </c>
      <c r="K195" s="47">
        <v>18</v>
      </c>
      <c r="L195" s="47">
        <v>12.898942947387695</v>
      </c>
      <c r="M195" s="47">
        <v>16</v>
      </c>
    </row>
    <row r="196" spans="2:13">
      <c r="B196" s="47">
        <v>12</v>
      </c>
      <c r="C196" s="47">
        <v>7663.6270000000004</v>
      </c>
      <c r="D196" s="47">
        <v>13488.882</v>
      </c>
      <c r="E196" s="47">
        <v>16.21989631652832</v>
      </c>
      <c r="G196" s="47">
        <v>191</v>
      </c>
      <c r="H196" s="47">
        <v>7776.5969999999998</v>
      </c>
      <c r="I196" s="47">
        <v>14</v>
      </c>
      <c r="J196" s="47">
        <v>11793.307000000001</v>
      </c>
      <c r="K196" s="47">
        <v>20</v>
      </c>
      <c r="L196" s="47">
        <v>12.90796947479248</v>
      </c>
      <c r="M196" s="47">
        <v>20</v>
      </c>
    </row>
    <row r="197" spans="2:13">
      <c r="B197" s="47">
        <v>12</v>
      </c>
      <c r="C197" s="47">
        <v>7810.48</v>
      </c>
      <c r="D197" s="47">
        <v>13512.657999999999</v>
      </c>
      <c r="E197" s="47">
        <v>16.455514907836914</v>
      </c>
      <c r="G197" s="47">
        <v>192</v>
      </c>
      <c r="H197" s="47">
        <v>7779.1109999999999</v>
      </c>
      <c r="I197" s="47">
        <v>10</v>
      </c>
      <c r="J197" s="47">
        <v>11803.215</v>
      </c>
      <c r="K197" s="47">
        <v>20</v>
      </c>
      <c r="L197" s="47">
        <v>12.910773277282715</v>
      </c>
      <c r="M197" s="47">
        <v>16</v>
      </c>
    </row>
    <row r="198" spans="2:13">
      <c r="B198" s="47">
        <v>12</v>
      </c>
      <c r="C198" s="47">
        <v>8428.6589999999997</v>
      </c>
      <c r="D198" s="47">
        <v>14176.802</v>
      </c>
      <c r="E198" s="47">
        <v>17.147943496704102</v>
      </c>
      <c r="G198" s="47">
        <v>193</v>
      </c>
      <c r="H198" s="47">
        <v>7789.3739999999998</v>
      </c>
      <c r="I198" s="47">
        <v>12</v>
      </c>
      <c r="J198" s="47">
        <v>11804.915000000001</v>
      </c>
      <c r="K198" s="47">
        <v>16</v>
      </c>
      <c r="L198" s="47">
        <v>12.912376403808594</v>
      </c>
      <c r="M198" s="47">
        <v>16</v>
      </c>
    </row>
    <row r="199" spans="2:13">
      <c r="B199" s="47">
        <v>12</v>
      </c>
      <c r="C199" s="47">
        <v>7842.0304999999998</v>
      </c>
      <c r="D199" s="47">
        <v>13451.966</v>
      </c>
      <c r="E199" s="47">
        <v>16.404050827026367</v>
      </c>
      <c r="G199" s="47">
        <v>194</v>
      </c>
      <c r="H199" s="47">
        <v>7805.1525000000001</v>
      </c>
      <c r="I199" s="47">
        <v>12</v>
      </c>
      <c r="J199" s="47">
        <v>11811.682000000001</v>
      </c>
      <c r="K199" s="47">
        <v>18</v>
      </c>
      <c r="L199" s="47">
        <v>12.918580055236816</v>
      </c>
      <c r="M199" s="47">
        <v>18</v>
      </c>
    </row>
    <row r="200" spans="2:13">
      <c r="B200" s="47">
        <v>12</v>
      </c>
      <c r="C200" s="47">
        <v>7374.7264999999998</v>
      </c>
      <c r="D200" s="47">
        <v>14175.526</v>
      </c>
      <c r="E200" s="47">
        <v>16.655971527099609</v>
      </c>
      <c r="G200" s="47">
        <v>195</v>
      </c>
      <c r="H200" s="47">
        <v>7810.48</v>
      </c>
      <c r="I200" s="47">
        <v>12</v>
      </c>
      <c r="J200" s="47">
        <v>11814.295</v>
      </c>
      <c r="K200" s="47">
        <v>18</v>
      </c>
      <c r="L200" s="47">
        <v>12.945170402526855</v>
      </c>
      <c r="M200" s="47">
        <v>16</v>
      </c>
    </row>
    <row r="201" spans="2:13">
      <c r="B201" s="47">
        <v>12</v>
      </c>
      <c r="C201" s="47">
        <v>7685.6925000000001</v>
      </c>
      <c r="D201" s="47">
        <v>13372.644</v>
      </c>
      <c r="E201" s="47">
        <v>16.706857681274414</v>
      </c>
      <c r="G201" s="47">
        <v>196</v>
      </c>
      <c r="H201" s="47">
        <v>7814.6435000000001</v>
      </c>
      <c r="I201" s="47">
        <v>16</v>
      </c>
      <c r="J201" s="47">
        <v>11821.853999999999</v>
      </c>
      <c r="K201" s="47">
        <v>20</v>
      </c>
      <c r="L201" s="47">
        <v>12.953222274780273</v>
      </c>
      <c r="M201" s="47">
        <v>16</v>
      </c>
    </row>
    <row r="202" spans="2:13">
      <c r="B202" s="47">
        <v>12</v>
      </c>
      <c r="C202" s="47">
        <v>8115.5410000000002</v>
      </c>
      <c r="D202" s="47">
        <v>14111.575999999999</v>
      </c>
      <c r="E202" s="47">
        <v>16.926067352294922</v>
      </c>
      <c r="G202" s="47">
        <v>197</v>
      </c>
      <c r="H202" s="47">
        <v>7817.4705000000004</v>
      </c>
      <c r="I202" s="47">
        <v>16</v>
      </c>
      <c r="J202" s="47">
        <v>11828.441999999999</v>
      </c>
      <c r="K202" s="47">
        <v>6</v>
      </c>
      <c r="L202" s="47">
        <v>12.973063468933105</v>
      </c>
      <c r="M202" s="47">
        <v>18</v>
      </c>
    </row>
    <row r="203" spans="2:13">
      <c r="B203" s="47">
        <v>12</v>
      </c>
      <c r="C203" s="47">
        <v>7759.7629999999999</v>
      </c>
      <c r="D203" s="47">
        <v>13598.565000000001</v>
      </c>
      <c r="E203" s="47">
        <v>16.962034225463867</v>
      </c>
      <c r="G203" s="47">
        <v>198</v>
      </c>
      <c r="H203" s="47">
        <v>7818.076</v>
      </c>
      <c r="I203" s="47">
        <v>10</v>
      </c>
      <c r="J203" s="47">
        <v>11836.364</v>
      </c>
      <c r="K203" s="47">
        <v>18</v>
      </c>
      <c r="L203" s="47">
        <v>12.99124813079834</v>
      </c>
      <c r="M203" s="47">
        <v>16</v>
      </c>
    </row>
    <row r="204" spans="2:13">
      <c r="B204" s="47">
        <v>12</v>
      </c>
      <c r="C204" s="47">
        <v>7497.8474999999999</v>
      </c>
      <c r="D204" s="47">
        <v>14102.029</v>
      </c>
      <c r="E204" s="47">
        <v>17.313142776489258</v>
      </c>
      <c r="G204" s="47">
        <v>199</v>
      </c>
      <c r="H204" s="47">
        <v>7821.2430000000004</v>
      </c>
      <c r="I204" s="47">
        <v>10</v>
      </c>
      <c r="J204" s="47">
        <v>11855.197</v>
      </c>
      <c r="K204" s="47">
        <v>16</v>
      </c>
      <c r="L204" s="47">
        <v>12.995405197143555</v>
      </c>
      <c r="M204" s="47">
        <v>20</v>
      </c>
    </row>
    <row r="205" spans="2:13">
      <c r="B205" s="47">
        <v>12</v>
      </c>
      <c r="C205" s="47">
        <v>8218.1830000000009</v>
      </c>
      <c r="D205" s="47">
        <v>13395.173000000001</v>
      </c>
      <c r="E205" s="47">
        <v>16.651628494262695</v>
      </c>
      <c r="G205" s="47">
        <v>200</v>
      </c>
      <c r="H205" s="47">
        <v>7822.5635000000002</v>
      </c>
      <c r="I205" s="47">
        <v>18</v>
      </c>
      <c r="J205" s="47">
        <v>11862.083000000001</v>
      </c>
      <c r="K205" s="47">
        <v>16</v>
      </c>
      <c r="L205" s="47">
        <v>13.013371467590332</v>
      </c>
      <c r="M205" s="47">
        <v>16</v>
      </c>
    </row>
    <row r="206" spans="2:13">
      <c r="B206" s="47">
        <v>12</v>
      </c>
      <c r="C206" s="47">
        <v>7236.11</v>
      </c>
      <c r="D206" s="47">
        <v>13480.325999999999</v>
      </c>
      <c r="E206" s="47">
        <v>16.968160629272461</v>
      </c>
      <c r="G206" s="47">
        <v>201</v>
      </c>
      <c r="H206" s="47">
        <v>7822.6620000000003</v>
      </c>
      <c r="I206" s="47">
        <v>12</v>
      </c>
      <c r="J206" s="47">
        <v>11868.808000000001</v>
      </c>
      <c r="K206" s="47">
        <v>6</v>
      </c>
      <c r="L206" s="47">
        <v>13.015888214111328</v>
      </c>
      <c r="M206" s="47">
        <v>16</v>
      </c>
    </row>
    <row r="207" spans="2:13">
      <c r="B207" s="47">
        <v>12</v>
      </c>
      <c r="C207" s="47">
        <v>7647.6760000000004</v>
      </c>
      <c r="D207" s="47">
        <v>13451.144</v>
      </c>
      <c r="E207" s="47">
        <v>16.438209533691406</v>
      </c>
      <c r="G207" s="47">
        <v>202</v>
      </c>
      <c r="H207" s="47">
        <v>7823.5690000000004</v>
      </c>
      <c r="I207" s="47">
        <v>20</v>
      </c>
      <c r="J207" s="47">
        <v>11879.173000000001</v>
      </c>
      <c r="K207" s="47">
        <v>18</v>
      </c>
      <c r="L207" s="47">
        <v>13.018619537353516</v>
      </c>
      <c r="M207" s="47">
        <v>18</v>
      </c>
    </row>
    <row r="208" spans="2:13">
      <c r="B208" s="47">
        <v>12</v>
      </c>
      <c r="C208" s="47">
        <v>7557.6009999999997</v>
      </c>
      <c r="D208" s="47">
        <v>14429.593000000001</v>
      </c>
      <c r="E208" s="47">
        <v>17.210962295532227</v>
      </c>
      <c r="G208" s="47">
        <v>203</v>
      </c>
      <c r="H208" s="47">
        <v>7828.3135000000002</v>
      </c>
      <c r="I208" s="47">
        <v>16</v>
      </c>
      <c r="J208" s="47">
        <v>11884.995999999999</v>
      </c>
      <c r="K208" s="47">
        <v>18</v>
      </c>
      <c r="L208" s="47">
        <v>13.019942283630371</v>
      </c>
      <c r="M208" s="47">
        <v>16</v>
      </c>
    </row>
    <row r="209" spans="2:13">
      <c r="B209" s="47">
        <v>12</v>
      </c>
      <c r="C209" s="47">
        <v>7908.3429999999998</v>
      </c>
      <c r="D209" s="47">
        <v>13790.882</v>
      </c>
      <c r="E209" s="47">
        <v>16.754758834838867</v>
      </c>
      <c r="G209" s="47">
        <v>204</v>
      </c>
      <c r="H209" s="47">
        <v>7828.6025</v>
      </c>
      <c r="I209" s="47">
        <v>14</v>
      </c>
      <c r="J209" s="47">
        <v>11895.207</v>
      </c>
      <c r="K209" s="47">
        <v>16</v>
      </c>
      <c r="L209" s="47">
        <v>13.023520469665527</v>
      </c>
      <c r="M209" s="47">
        <v>18</v>
      </c>
    </row>
    <row r="210" spans="2:13">
      <c r="B210" s="47">
        <v>12</v>
      </c>
      <c r="C210" s="47">
        <v>7843.4430000000002</v>
      </c>
      <c r="D210" s="47">
        <v>13083.567999999999</v>
      </c>
      <c r="E210" s="47">
        <v>16.220111846923828</v>
      </c>
      <c r="G210" s="47">
        <v>205</v>
      </c>
      <c r="H210" s="47">
        <v>7831.4155000000001</v>
      </c>
      <c r="I210" s="47">
        <v>12</v>
      </c>
      <c r="J210" s="47">
        <v>11901.981</v>
      </c>
      <c r="K210" s="47">
        <v>18</v>
      </c>
      <c r="L210" s="47">
        <v>13.032739639282227</v>
      </c>
      <c r="M210" s="47">
        <v>16</v>
      </c>
    </row>
    <row r="211" spans="2:13">
      <c r="B211" s="47">
        <v>12</v>
      </c>
      <c r="C211" s="47">
        <v>7805.1525000000001</v>
      </c>
      <c r="D211" s="47">
        <v>13662.46</v>
      </c>
      <c r="E211" s="47">
        <v>16.757938385009766</v>
      </c>
      <c r="G211" s="47">
        <v>206</v>
      </c>
      <c r="H211" s="47">
        <v>7834.7629999999999</v>
      </c>
      <c r="I211" s="47">
        <v>10</v>
      </c>
      <c r="J211" s="47">
        <v>11914.039000000001</v>
      </c>
      <c r="K211" s="47">
        <v>20</v>
      </c>
      <c r="L211" s="47">
        <v>13.034626007080078</v>
      </c>
      <c r="M211" s="47">
        <v>18</v>
      </c>
    </row>
    <row r="212" spans="2:13">
      <c r="B212" s="47">
        <v>12</v>
      </c>
      <c r="C212" s="47">
        <v>8261.4804999999997</v>
      </c>
      <c r="D212" s="47">
        <v>13377.253000000001</v>
      </c>
      <c r="E212" s="47">
        <v>16.56634521484375</v>
      </c>
      <c r="G212" s="47">
        <v>207</v>
      </c>
      <c r="H212" s="47">
        <v>7842.0304999999998</v>
      </c>
      <c r="I212" s="47">
        <v>12</v>
      </c>
      <c r="J212" s="47">
        <v>11914.287</v>
      </c>
      <c r="K212" s="47">
        <v>14</v>
      </c>
      <c r="L212" s="47">
        <v>13.03923511505127</v>
      </c>
      <c r="M212" s="47">
        <v>20</v>
      </c>
    </row>
    <row r="213" spans="2:13">
      <c r="B213" s="47">
        <v>12</v>
      </c>
      <c r="C213" s="47">
        <v>7560.4939999999997</v>
      </c>
      <c r="D213" s="47">
        <v>13763.842000000001</v>
      </c>
      <c r="E213" s="47">
        <v>16.90667724609375</v>
      </c>
      <c r="G213" s="47">
        <v>208</v>
      </c>
      <c r="H213" s="47">
        <v>7843.4430000000002</v>
      </c>
      <c r="I213" s="47">
        <v>12</v>
      </c>
      <c r="J213" s="47">
        <v>11917.583000000001</v>
      </c>
      <c r="K213" s="47">
        <v>16</v>
      </c>
      <c r="L213" s="47">
        <v>13.040851593017578</v>
      </c>
      <c r="M213" s="47">
        <v>18</v>
      </c>
    </row>
    <row r="214" spans="2:13">
      <c r="B214" s="47">
        <v>12</v>
      </c>
      <c r="C214" s="47">
        <v>7587.8540000000003</v>
      </c>
      <c r="D214" s="47">
        <v>13638.35</v>
      </c>
      <c r="E214" s="47">
        <v>16.570846557617188</v>
      </c>
      <c r="G214" s="47">
        <v>209</v>
      </c>
      <c r="H214" s="47">
        <v>7845.7579999999998</v>
      </c>
      <c r="I214" s="47">
        <v>16</v>
      </c>
      <c r="J214" s="47">
        <v>11938.933999999999</v>
      </c>
      <c r="K214" s="47">
        <v>16</v>
      </c>
      <c r="L214" s="47">
        <v>13.086817741394043</v>
      </c>
      <c r="M214" s="47">
        <v>16</v>
      </c>
    </row>
    <row r="215" spans="2:13">
      <c r="B215" s="47">
        <v>12</v>
      </c>
      <c r="C215" s="47">
        <v>7486.9155000000001</v>
      </c>
      <c r="D215" s="47">
        <v>14104.397999999999</v>
      </c>
      <c r="E215" s="47">
        <v>17.109350204467773</v>
      </c>
      <c r="G215" s="47">
        <v>210</v>
      </c>
      <c r="H215" s="47">
        <v>7852.8625000000002</v>
      </c>
      <c r="I215" s="47">
        <v>14</v>
      </c>
      <c r="J215" s="47">
        <v>11939.718000000001</v>
      </c>
      <c r="K215" s="47">
        <v>16</v>
      </c>
      <c r="L215" s="47">
        <v>13.08958911895752</v>
      </c>
      <c r="M215" s="47">
        <v>16</v>
      </c>
    </row>
    <row r="216" spans="2:13">
      <c r="B216" s="47">
        <v>14</v>
      </c>
      <c r="C216" s="47">
        <v>8127.683</v>
      </c>
      <c r="D216" s="47">
        <v>12663.361999999999</v>
      </c>
      <c r="E216" s="47">
        <v>15.011262893676758</v>
      </c>
      <c r="G216" s="47">
        <v>211</v>
      </c>
      <c r="H216" s="47">
        <v>7853.4719999999998</v>
      </c>
      <c r="I216" s="47">
        <v>16</v>
      </c>
      <c r="J216" s="47">
        <v>11942.263999999999</v>
      </c>
      <c r="K216" s="47">
        <v>18</v>
      </c>
      <c r="L216" s="47">
        <v>13.101114273071289</v>
      </c>
      <c r="M216" s="47">
        <v>20</v>
      </c>
    </row>
    <row r="217" spans="2:13">
      <c r="B217" s="47">
        <v>14</v>
      </c>
      <c r="C217" s="47">
        <v>7945.1205</v>
      </c>
      <c r="D217" s="47">
        <v>13086.695</v>
      </c>
      <c r="E217" s="47">
        <v>15.758711814880371</v>
      </c>
      <c r="G217" s="47">
        <v>212</v>
      </c>
      <c r="H217" s="47">
        <v>7853.7254999999996</v>
      </c>
      <c r="I217" s="47">
        <v>18</v>
      </c>
      <c r="J217" s="47">
        <v>11946.736000000001</v>
      </c>
      <c r="K217" s="47">
        <v>16</v>
      </c>
      <c r="L217" s="47">
        <v>13.108488082885742</v>
      </c>
      <c r="M217" s="47">
        <v>18</v>
      </c>
    </row>
    <row r="218" spans="2:13">
      <c r="B218" s="47">
        <v>14</v>
      </c>
      <c r="C218" s="47">
        <v>8459.1759999999995</v>
      </c>
      <c r="D218" s="47">
        <v>12794.602000000001</v>
      </c>
      <c r="E218" s="47">
        <v>14.704850196838379</v>
      </c>
      <c r="G218" s="47">
        <v>213</v>
      </c>
      <c r="H218" s="47">
        <v>7855.6355000000003</v>
      </c>
      <c r="I218" s="47">
        <v>14</v>
      </c>
      <c r="J218" s="47">
        <v>11952.183000000001</v>
      </c>
      <c r="K218" s="47">
        <v>20</v>
      </c>
      <c r="L218" s="47">
        <v>13.114522933959961</v>
      </c>
      <c r="M218" s="47">
        <v>16</v>
      </c>
    </row>
    <row r="219" spans="2:13">
      <c r="B219" s="47">
        <v>14</v>
      </c>
      <c r="C219" s="47">
        <v>8143.1525000000001</v>
      </c>
      <c r="D219" s="47">
        <v>12557.68</v>
      </c>
      <c r="E219" s="47">
        <v>15.335382461547852</v>
      </c>
      <c r="G219" s="47">
        <v>214</v>
      </c>
      <c r="H219" s="47">
        <v>7856.9189999999999</v>
      </c>
      <c r="I219" s="47">
        <v>20</v>
      </c>
      <c r="J219" s="47">
        <v>11953.825999999999</v>
      </c>
      <c r="K219" s="47">
        <v>18</v>
      </c>
      <c r="L219" s="47">
        <v>13.189785003662109</v>
      </c>
      <c r="M219" s="47">
        <v>18</v>
      </c>
    </row>
    <row r="220" spans="2:13">
      <c r="B220" s="47">
        <v>14</v>
      </c>
      <c r="C220" s="47">
        <v>8668.2860000000001</v>
      </c>
      <c r="D220" s="47">
        <v>12211.864</v>
      </c>
      <c r="E220" s="47">
        <v>14.664799690246582</v>
      </c>
      <c r="G220" s="47">
        <v>215</v>
      </c>
      <c r="H220" s="47">
        <v>7857.8834999999999</v>
      </c>
      <c r="I220" s="47">
        <v>14</v>
      </c>
      <c r="J220" s="47">
        <v>11954.554</v>
      </c>
      <c r="K220" s="47">
        <v>16</v>
      </c>
      <c r="L220" s="47">
        <v>13.192981719970703</v>
      </c>
      <c r="M220" s="47">
        <v>16</v>
      </c>
    </row>
    <row r="221" spans="2:13">
      <c r="B221" s="47">
        <v>14</v>
      </c>
      <c r="C221" s="47">
        <v>7936.6045000000004</v>
      </c>
      <c r="D221" s="47">
        <v>12815.64</v>
      </c>
      <c r="E221" s="47">
        <v>15.606799125671387</v>
      </c>
      <c r="G221" s="47">
        <v>216</v>
      </c>
      <c r="H221" s="47">
        <v>7859.9</v>
      </c>
      <c r="I221" s="47">
        <v>16</v>
      </c>
      <c r="J221" s="47">
        <v>11954.909</v>
      </c>
      <c r="K221" s="47">
        <v>18</v>
      </c>
      <c r="L221" s="47">
        <v>13.210948944091797</v>
      </c>
      <c r="M221" s="47">
        <v>16</v>
      </c>
    </row>
    <row r="222" spans="2:13">
      <c r="B222" s="47">
        <v>14</v>
      </c>
      <c r="C222" s="47">
        <v>8052.2049999999999</v>
      </c>
      <c r="D222" s="47">
        <v>12509.498</v>
      </c>
      <c r="E222" s="47">
        <v>15.359257698059082</v>
      </c>
      <c r="G222" s="47">
        <v>217</v>
      </c>
      <c r="H222" s="47">
        <v>7860.1459999999997</v>
      </c>
      <c r="I222" s="47">
        <v>16</v>
      </c>
      <c r="J222" s="47">
        <v>11959.753000000001</v>
      </c>
      <c r="K222" s="47">
        <v>16</v>
      </c>
      <c r="L222" s="47">
        <v>13.218448638916016</v>
      </c>
      <c r="M222" s="47">
        <v>16</v>
      </c>
    </row>
    <row r="223" spans="2:13">
      <c r="B223" s="47">
        <v>14</v>
      </c>
      <c r="C223" s="47">
        <v>8325.1365000000005</v>
      </c>
      <c r="D223" s="47">
        <v>12629.735000000001</v>
      </c>
      <c r="E223" s="47">
        <v>14.430496215820313</v>
      </c>
      <c r="G223" s="47">
        <v>218</v>
      </c>
      <c r="H223" s="47">
        <v>7860.9870000000001</v>
      </c>
      <c r="I223" s="47">
        <v>18</v>
      </c>
      <c r="J223" s="47">
        <v>11960.228999999999</v>
      </c>
      <c r="K223" s="47">
        <v>16</v>
      </c>
      <c r="L223" s="47">
        <v>13.229022026062012</v>
      </c>
      <c r="M223" s="47">
        <v>16</v>
      </c>
    </row>
    <row r="224" spans="2:13">
      <c r="B224" s="47">
        <v>14</v>
      </c>
      <c r="C224" s="47">
        <v>8383.884</v>
      </c>
      <c r="D224" s="47">
        <v>12805.72</v>
      </c>
      <c r="E224" s="47">
        <v>15.48316478729248</v>
      </c>
      <c r="G224" s="47">
        <v>219</v>
      </c>
      <c r="H224" s="47">
        <v>7864.0744999999997</v>
      </c>
      <c r="I224" s="47">
        <v>10</v>
      </c>
      <c r="J224" s="47">
        <v>11963.218000000001</v>
      </c>
      <c r="K224" s="47">
        <v>16</v>
      </c>
      <c r="L224" s="47">
        <v>13.230360984802246</v>
      </c>
      <c r="M224" s="47">
        <v>16</v>
      </c>
    </row>
    <row r="225" spans="2:13">
      <c r="B225" s="47">
        <v>14</v>
      </c>
      <c r="C225" s="47">
        <v>7855.6355000000003</v>
      </c>
      <c r="D225" s="47">
        <v>13292.214</v>
      </c>
      <c r="E225" s="47">
        <v>15.204999923706055</v>
      </c>
      <c r="G225" s="47">
        <v>220</v>
      </c>
      <c r="H225" s="47">
        <v>7870.05</v>
      </c>
      <c r="I225" s="47">
        <v>16</v>
      </c>
      <c r="J225" s="47">
        <v>11965.358</v>
      </c>
      <c r="K225" s="47">
        <v>16</v>
      </c>
      <c r="L225" s="47">
        <v>13.238157272338867</v>
      </c>
      <c r="M225" s="47">
        <v>18</v>
      </c>
    </row>
    <row r="226" spans="2:13">
      <c r="B226" s="47">
        <v>14</v>
      </c>
      <c r="C226" s="47">
        <v>8097.8215</v>
      </c>
      <c r="D226" s="47">
        <v>13188.819</v>
      </c>
      <c r="E226" s="47">
        <v>15.875725746154785</v>
      </c>
      <c r="G226" s="47">
        <v>221</v>
      </c>
      <c r="H226" s="47">
        <v>7871.9179999999997</v>
      </c>
      <c r="I226" s="47">
        <v>12</v>
      </c>
      <c r="J226" s="47">
        <v>11967.643</v>
      </c>
      <c r="K226" s="47">
        <v>18</v>
      </c>
      <c r="L226" s="47">
        <v>13.251519203186035</v>
      </c>
      <c r="M226" s="47">
        <v>16</v>
      </c>
    </row>
    <row r="227" spans="2:13">
      <c r="B227" s="47">
        <v>14</v>
      </c>
      <c r="C227" s="47">
        <v>8217.8549999999996</v>
      </c>
      <c r="D227" s="47">
        <v>11914.287</v>
      </c>
      <c r="E227" s="47">
        <v>14.00206184387207</v>
      </c>
      <c r="G227" s="47">
        <v>222</v>
      </c>
      <c r="H227" s="47">
        <v>7874.8905000000004</v>
      </c>
      <c r="I227" s="47">
        <v>8</v>
      </c>
      <c r="J227" s="47">
        <v>11969.858</v>
      </c>
      <c r="K227" s="47">
        <v>20</v>
      </c>
      <c r="L227" s="47">
        <v>13.253626823425293</v>
      </c>
      <c r="M227" s="47">
        <v>16</v>
      </c>
    </row>
    <row r="228" spans="2:13">
      <c r="B228" s="47">
        <v>14</v>
      </c>
      <c r="C228" s="47">
        <v>7463.0715</v>
      </c>
      <c r="D228" s="47">
        <v>13082.248</v>
      </c>
      <c r="E228" s="47">
        <v>15.718418121337891</v>
      </c>
      <c r="G228" s="47">
        <v>223</v>
      </c>
      <c r="H228" s="47">
        <v>7876.6355000000003</v>
      </c>
      <c r="I228" s="47">
        <v>16</v>
      </c>
      <c r="J228" s="47">
        <v>11970.027</v>
      </c>
      <c r="K228" s="47">
        <v>20</v>
      </c>
      <c r="L228" s="47">
        <v>13.276176452636719</v>
      </c>
      <c r="M228" s="47">
        <v>18</v>
      </c>
    </row>
    <row r="229" spans="2:13">
      <c r="B229" s="47">
        <v>14</v>
      </c>
      <c r="C229" s="47">
        <v>7776.5969999999998</v>
      </c>
      <c r="D229" s="47">
        <v>13771.268</v>
      </c>
      <c r="E229" s="47">
        <v>15.619054794311523</v>
      </c>
      <c r="G229" s="47">
        <v>224</v>
      </c>
      <c r="H229" s="47">
        <v>7883.5659999999998</v>
      </c>
      <c r="I229" s="47">
        <v>14</v>
      </c>
      <c r="J229" s="47">
        <v>11974.33</v>
      </c>
      <c r="K229" s="47">
        <v>18</v>
      </c>
      <c r="L229" s="47">
        <v>13.279438018798828</v>
      </c>
      <c r="M229" s="47">
        <v>16</v>
      </c>
    </row>
    <row r="230" spans="2:13">
      <c r="B230" s="47">
        <v>14</v>
      </c>
      <c r="C230" s="47">
        <v>7999.6049999999996</v>
      </c>
      <c r="D230" s="47">
        <v>12644.716</v>
      </c>
      <c r="E230" s="47">
        <v>14.284689903259277</v>
      </c>
      <c r="G230" s="47">
        <v>225</v>
      </c>
      <c r="H230" s="47">
        <v>7883.7915000000003</v>
      </c>
      <c r="I230" s="47">
        <v>14</v>
      </c>
      <c r="J230" s="47">
        <v>11975.695</v>
      </c>
      <c r="K230" s="47">
        <v>18</v>
      </c>
      <c r="L230" s="47">
        <v>13.293807983398438</v>
      </c>
      <c r="M230" s="47">
        <v>16</v>
      </c>
    </row>
    <row r="231" spans="2:13">
      <c r="B231" s="47">
        <v>14</v>
      </c>
      <c r="C231" s="47">
        <v>8441.41</v>
      </c>
      <c r="D231" s="47">
        <v>12429.627</v>
      </c>
      <c r="E231" s="47">
        <v>15.014269828796387</v>
      </c>
      <c r="G231" s="47">
        <v>226</v>
      </c>
      <c r="H231" s="47">
        <v>7884.8270000000002</v>
      </c>
      <c r="I231" s="47">
        <v>10</v>
      </c>
      <c r="J231" s="47">
        <v>11977.156999999999</v>
      </c>
      <c r="K231" s="47">
        <v>14</v>
      </c>
      <c r="L231" s="47">
        <v>13.307661056518555</v>
      </c>
      <c r="M231" s="47">
        <v>16</v>
      </c>
    </row>
    <row r="232" spans="2:13">
      <c r="B232" s="47">
        <v>14</v>
      </c>
      <c r="C232" s="47">
        <v>7472.0140000000001</v>
      </c>
      <c r="D232" s="47">
        <v>12824.483</v>
      </c>
      <c r="E232" s="47">
        <v>14.654423713684082</v>
      </c>
      <c r="G232" s="47">
        <v>227</v>
      </c>
      <c r="H232" s="47">
        <v>7884.9989999999998</v>
      </c>
      <c r="I232" s="47">
        <v>14</v>
      </c>
      <c r="J232" s="47">
        <v>11982.342000000001</v>
      </c>
      <c r="K232" s="47">
        <v>20</v>
      </c>
      <c r="L232" s="47">
        <v>13.31362247467041</v>
      </c>
      <c r="M232" s="47">
        <v>20</v>
      </c>
    </row>
    <row r="233" spans="2:13">
      <c r="B233" s="47">
        <v>14</v>
      </c>
      <c r="C233" s="47">
        <v>8307.6309999999994</v>
      </c>
      <c r="D233" s="47">
        <v>12427.741</v>
      </c>
      <c r="E233" s="47">
        <v>14.826322555541992</v>
      </c>
      <c r="G233" s="47">
        <v>228</v>
      </c>
      <c r="H233" s="47">
        <v>7886.0675000000001</v>
      </c>
      <c r="I233" s="47">
        <v>20</v>
      </c>
      <c r="J233" s="47">
        <v>11987.763000000001</v>
      </c>
      <c r="K233" s="47">
        <v>16</v>
      </c>
      <c r="L233" s="47">
        <v>13.332456588745117</v>
      </c>
      <c r="M233" s="47">
        <v>20</v>
      </c>
    </row>
    <row r="234" spans="2:13">
      <c r="B234" s="47">
        <v>14</v>
      </c>
      <c r="C234" s="47">
        <v>8271.9429999999993</v>
      </c>
      <c r="D234" s="47">
        <v>11758.232</v>
      </c>
      <c r="E234" s="47">
        <v>13.663948059082031</v>
      </c>
      <c r="G234" s="47">
        <v>229</v>
      </c>
      <c r="H234" s="47">
        <v>7893.9944999999998</v>
      </c>
      <c r="I234" s="47">
        <v>10</v>
      </c>
      <c r="J234" s="47">
        <v>11991.040999999999</v>
      </c>
      <c r="K234" s="47">
        <v>16</v>
      </c>
      <c r="L234" s="47">
        <v>13.354397773742676</v>
      </c>
      <c r="M234" s="47">
        <v>16</v>
      </c>
    </row>
    <row r="235" spans="2:13">
      <c r="B235" s="47">
        <v>14</v>
      </c>
      <c r="C235" s="47">
        <v>7984.3720000000003</v>
      </c>
      <c r="D235" s="47">
        <v>12434.628000000001</v>
      </c>
      <c r="E235" s="47">
        <v>13.891035079956055</v>
      </c>
      <c r="G235" s="47">
        <v>230</v>
      </c>
      <c r="H235" s="47">
        <v>7897.9409999999998</v>
      </c>
      <c r="I235" s="47">
        <v>18</v>
      </c>
      <c r="J235" s="47">
        <v>11994.058999999999</v>
      </c>
      <c r="K235" s="47">
        <v>16</v>
      </c>
      <c r="L235" s="47">
        <v>13.357977867126465</v>
      </c>
      <c r="M235" s="47">
        <v>16</v>
      </c>
    </row>
    <row r="236" spans="2:13">
      <c r="B236" s="47">
        <v>14</v>
      </c>
      <c r="C236" s="47">
        <v>8043.9570000000003</v>
      </c>
      <c r="D236" s="47">
        <v>12532.154</v>
      </c>
      <c r="E236" s="47">
        <v>15.506329536437988</v>
      </c>
      <c r="G236" s="47">
        <v>231</v>
      </c>
      <c r="H236" s="47">
        <v>7902.8410000000003</v>
      </c>
      <c r="I236" s="47">
        <v>16</v>
      </c>
      <c r="J236" s="47">
        <v>11999.584999999999</v>
      </c>
      <c r="K236" s="47">
        <v>20</v>
      </c>
      <c r="L236" s="47">
        <v>13.397314071655273</v>
      </c>
      <c r="M236" s="47">
        <v>16</v>
      </c>
    </row>
    <row r="237" spans="2:13">
      <c r="B237" s="47">
        <v>14</v>
      </c>
      <c r="C237" s="47">
        <v>7962.4629999999997</v>
      </c>
      <c r="D237" s="47">
        <v>13232.398999999999</v>
      </c>
      <c r="E237" s="47">
        <v>17.158962249755859</v>
      </c>
      <c r="G237" s="47">
        <v>232</v>
      </c>
      <c r="H237" s="47">
        <v>7905.241</v>
      </c>
      <c r="I237" s="47">
        <v>14</v>
      </c>
      <c r="J237" s="47">
        <v>12002.617</v>
      </c>
      <c r="K237" s="47">
        <v>16</v>
      </c>
      <c r="L237" s="47">
        <v>13.402802467346191</v>
      </c>
      <c r="M237" s="47">
        <v>16</v>
      </c>
    </row>
    <row r="238" spans="2:13">
      <c r="B238" s="47">
        <v>14</v>
      </c>
      <c r="C238" s="47">
        <v>8174.5290000000005</v>
      </c>
      <c r="D238" s="47">
        <v>12235.995999999999</v>
      </c>
      <c r="E238" s="47">
        <v>15.172671318054199</v>
      </c>
      <c r="G238" s="47">
        <v>233</v>
      </c>
      <c r="H238" s="47">
        <v>7906.3665000000001</v>
      </c>
      <c r="I238" s="47">
        <v>12</v>
      </c>
      <c r="J238" s="47">
        <v>12003.755999999999</v>
      </c>
      <c r="K238" s="47">
        <v>16</v>
      </c>
      <c r="L238" s="47">
        <v>13.417252540588379</v>
      </c>
      <c r="M238" s="47">
        <v>16</v>
      </c>
    </row>
    <row r="239" spans="2:13">
      <c r="B239" s="47">
        <v>14</v>
      </c>
      <c r="C239" s="47">
        <v>8009.7825000000003</v>
      </c>
      <c r="D239" s="47">
        <v>11977.156999999999</v>
      </c>
      <c r="E239" s="47">
        <v>14.817777633666992</v>
      </c>
      <c r="G239" s="47">
        <v>234</v>
      </c>
      <c r="H239" s="47">
        <v>7906.857</v>
      </c>
      <c r="I239" s="47">
        <v>12</v>
      </c>
      <c r="J239" s="47">
        <v>12012.548000000001</v>
      </c>
      <c r="K239" s="47">
        <v>14</v>
      </c>
      <c r="L239" s="47">
        <v>13.435183525085449</v>
      </c>
      <c r="M239" s="47">
        <v>16</v>
      </c>
    </row>
    <row r="240" spans="2:13">
      <c r="B240" s="47">
        <v>14</v>
      </c>
      <c r="C240" s="47">
        <v>7883.5659999999998</v>
      </c>
      <c r="D240" s="47">
        <v>12597.404</v>
      </c>
      <c r="E240" s="47">
        <v>15.382610321044922</v>
      </c>
      <c r="G240" s="47">
        <v>235</v>
      </c>
      <c r="H240" s="47">
        <v>7908.3429999999998</v>
      </c>
      <c r="I240" s="47">
        <v>12</v>
      </c>
      <c r="J240" s="47">
        <v>12023.162</v>
      </c>
      <c r="K240" s="47">
        <v>16</v>
      </c>
      <c r="L240" s="47">
        <v>13.466150283813477</v>
      </c>
      <c r="M240" s="47">
        <v>18</v>
      </c>
    </row>
    <row r="241" spans="2:13">
      <c r="B241" s="47">
        <v>14</v>
      </c>
      <c r="C241" s="47">
        <v>8021.3149999999996</v>
      </c>
      <c r="D241" s="47">
        <v>12576.591</v>
      </c>
      <c r="E241" s="47">
        <v>14.843902587890625</v>
      </c>
      <c r="G241" s="47">
        <v>236</v>
      </c>
      <c r="H241" s="47">
        <v>7915.2430000000004</v>
      </c>
      <c r="I241" s="47">
        <v>14</v>
      </c>
      <c r="J241" s="47">
        <v>12025.763000000001</v>
      </c>
      <c r="K241" s="47">
        <v>6</v>
      </c>
      <c r="L241" s="47">
        <v>13.473003387451172</v>
      </c>
      <c r="M241" s="47">
        <v>18</v>
      </c>
    </row>
    <row r="242" spans="2:13">
      <c r="B242" s="47">
        <v>14</v>
      </c>
      <c r="C242" s="47">
        <v>8173.1925000000001</v>
      </c>
      <c r="D242" s="47">
        <v>12380.664000000001</v>
      </c>
      <c r="E242" s="47">
        <v>14.482855796813965</v>
      </c>
      <c r="G242" s="47">
        <v>237</v>
      </c>
      <c r="H242" s="47">
        <v>7918.5225</v>
      </c>
      <c r="I242" s="47">
        <v>18</v>
      </c>
      <c r="J242" s="47">
        <v>12025.766</v>
      </c>
      <c r="K242" s="47">
        <v>16</v>
      </c>
      <c r="L242" s="47">
        <v>13.477879524230957</v>
      </c>
      <c r="M242" s="47">
        <v>16</v>
      </c>
    </row>
    <row r="243" spans="2:13">
      <c r="B243" s="47">
        <v>14</v>
      </c>
      <c r="C243" s="47">
        <v>7883.7915000000003</v>
      </c>
      <c r="D243" s="47">
        <v>12070.271000000001</v>
      </c>
      <c r="E243" s="47">
        <v>15.036250114440918</v>
      </c>
      <c r="G243" s="47">
        <v>238</v>
      </c>
      <c r="H243" s="47">
        <v>7920.7520000000004</v>
      </c>
      <c r="I243" s="47">
        <v>12</v>
      </c>
      <c r="J243" s="47">
        <v>12027.552</v>
      </c>
      <c r="K243" s="47">
        <v>18</v>
      </c>
      <c r="L243" s="47">
        <v>13.482427597045898</v>
      </c>
      <c r="M243" s="47">
        <v>16</v>
      </c>
    </row>
    <row r="244" spans="2:13">
      <c r="B244" s="47">
        <v>14</v>
      </c>
      <c r="C244" s="47">
        <v>7937.7370000000001</v>
      </c>
      <c r="D244" s="47">
        <v>13204.743</v>
      </c>
      <c r="E244" s="47">
        <v>15.855997085571289</v>
      </c>
      <c r="G244" s="47">
        <v>239</v>
      </c>
      <c r="H244" s="47">
        <v>7922.9859999999999</v>
      </c>
      <c r="I244" s="47">
        <v>16</v>
      </c>
      <c r="J244" s="47">
        <v>12027.98</v>
      </c>
      <c r="K244" s="47">
        <v>6</v>
      </c>
      <c r="L244" s="47">
        <v>13.496177673339844</v>
      </c>
      <c r="M244" s="47">
        <v>16</v>
      </c>
    </row>
    <row r="245" spans="2:13">
      <c r="B245" s="47">
        <v>14</v>
      </c>
      <c r="C245" s="47">
        <v>8537.1939999999995</v>
      </c>
      <c r="D245" s="47">
        <v>12681.498</v>
      </c>
      <c r="E245" s="47">
        <v>16.195344924926758</v>
      </c>
      <c r="G245" s="47">
        <v>240</v>
      </c>
      <c r="H245" s="47">
        <v>7925.1220000000003</v>
      </c>
      <c r="I245" s="47">
        <v>16</v>
      </c>
      <c r="J245" s="47">
        <v>12035.15</v>
      </c>
      <c r="K245" s="47">
        <v>16</v>
      </c>
      <c r="L245" s="47">
        <v>13.503764152526855</v>
      </c>
      <c r="M245" s="47">
        <v>16</v>
      </c>
    </row>
    <row r="246" spans="2:13">
      <c r="B246" s="47">
        <v>14</v>
      </c>
      <c r="C246" s="47">
        <v>8206.5874999999996</v>
      </c>
      <c r="D246" s="47">
        <v>12670.269</v>
      </c>
      <c r="E246" s="47">
        <v>14.90273380279541</v>
      </c>
      <c r="G246" s="47">
        <v>241</v>
      </c>
      <c r="H246" s="47">
        <v>7925.9695000000002</v>
      </c>
      <c r="I246" s="47">
        <v>12</v>
      </c>
      <c r="J246" s="47">
        <v>12054.898999999999</v>
      </c>
      <c r="K246" s="47">
        <v>18</v>
      </c>
      <c r="L246" s="47">
        <v>13.510305404663086</v>
      </c>
      <c r="M246" s="47">
        <v>16</v>
      </c>
    </row>
    <row r="247" spans="2:13">
      <c r="B247" s="47">
        <v>14</v>
      </c>
      <c r="C247" s="47">
        <v>7977.6885000000002</v>
      </c>
      <c r="D247" s="47">
        <v>12362.715</v>
      </c>
      <c r="E247" s="47">
        <v>15.437429428100586</v>
      </c>
      <c r="G247" s="47">
        <v>242</v>
      </c>
      <c r="H247" s="47">
        <v>7926.7494999999999</v>
      </c>
      <c r="I247" s="47">
        <v>12</v>
      </c>
      <c r="J247" s="47">
        <v>12057.456</v>
      </c>
      <c r="K247" s="47">
        <v>16</v>
      </c>
      <c r="L247" s="47">
        <v>13.528200149536133</v>
      </c>
      <c r="M247" s="47">
        <v>16</v>
      </c>
    </row>
    <row r="248" spans="2:13">
      <c r="B248" s="47">
        <v>14</v>
      </c>
      <c r="C248" s="47">
        <v>8214.8690000000006</v>
      </c>
      <c r="D248" s="47">
        <v>12744.731</v>
      </c>
      <c r="E248" s="47">
        <v>16.318098068237305</v>
      </c>
      <c r="G248" s="47">
        <v>243</v>
      </c>
      <c r="H248" s="47">
        <v>7929.518</v>
      </c>
      <c r="I248" s="47">
        <v>12</v>
      </c>
      <c r="J248" s="47">
        <v>12063.7</v>
      </c>
      <c r="K248" s="47">
        <v>16</v>
      </c>
      <c r="L248" s="47">
        <v>13.541327476501465</v>
      </c>
      <c r="M248" s="47">
        <v>18</v>
      </c>
    </row>
    <row r="249" spans="2:13">
      <c r="B249" s="47">
        <v>14</v>
      </c>
      <c r="C249" s="47">
        <v>7993.2484999999997</v>
      </c>
      <c r="D249" s="47">
        <v>12385.584999999999</v>
      </c>
      <c r="E249" s="47">
        <v>14.79188060760498</v>
      </c>
      <c r="G249" s="47">
        <v>244</v>
      </c>
      <c r="H249" s="47">
        <v>7935.6085000000003</v>
      </c>
      <c r="I249" s="47">
        <v>14</v>
      </c>
      <c r="J249" s="47">
        <v>12070.271000000001</v>
      </c>
      <c r="K249" s="47">
        <v>14</v>
      </c>
      <c r="L249" s="47">
        <v>13.571276664733887</v>
      </c>
      <c r="M249" s="47">
        <v>16</v>
      </c>
    </row>
    <row r="250" spans="2:13">
      <c r="B250" s="47">
        <v>14</v>
      </c>
      <c r="C250" s="47">
        <v>7884.9989999999998</v>
      </c>
      <c r="D250" s="47">
        <v>13101.290999999999</v>
      </c>
      <c r="E250" s="47">
        <v>15.182847023010254</v>
      </c>
      <c r="G250" s="47">
        <v>245</v>
      </c>
      <c r="H250" s="47">
        <v>7936.6045000000004</v>
      </c>
      <c r="I250" s="47">
        <v>14</v>
      </c>
      <c r="J250" s="47">
        <v>12070.371999999999</v>
      </c>
      <c r="K250" s="47">
        <v>18</v>
      </c>
      <c r="L250" s="47">
        <v>13.572399139404297</v>
      </c>
      <c r="M250" s="47">
        <v>16</v>
      </c>
    </row>
    <row r="251" spans="2:13">
      <c r="B251" s="47">
        <v>14</v>
      </c>
      <c r="C251" s="47">
        <v>8072.3924999999999</v>
      </c>
      <c r="D251" s="47">
        <v>11784.736000000001</v>
      </c>
      <c r="E251" s="47">
        <v>14.381908416748047</v>
      </c>
      <c r="G251" s="47">
        <v>246</v>
      </c>
      <c r="H251" s="47">
        <v>7937.7370000000001</v>
      </c>
      <c r="I251" s="47">
        <v>14</v>
      </c>
      <c r="J251" s="47">
        <v>12073.227000000001</v>
      </c>
      <c r="K251" s="47">
        <v>18</v>
      </c>
      <c r="L251" s="47">
        <v>13.588135719299316</v>
      </c>
      <c r="M251" s="47">
        <v>18</v>
      </c>
    </row>
    <row r="252" spans="2:13">
      <c r="B252" s="47">
        <v>14</v>
      </c>
      <c r="C252" s="47">
        <v>8775.3379999999997</v>
      </c>
      <c r="D252" s="47">
        <v>12232.473</v>
      </c>
      <c r="E252" s="47">
        <v>14.495588302612305</v>
      </c>
      <c r="G252" s="47">
        <v>247</v>
      </c>
      <c r="H252" s="47">
        <v>7940.81</v>
      </c>
      <c r="I252" s="47">
        <v>20</v>
      </c>
      <c r="J252" s="47">
        <v>12080.102000000001</v>
      </c>
      <c r="K252" s="47">
        <v>20</v>
      </c>
      <c r="L252" s="47">
        <v>13.629913330078125</v>
      </c>
      <c r="M252" s="47">
        <v>18</v>
      </c>
    </row>
    <row r="253" spans="2:13">
      <c r="B253" s="47">
        <v>14</v>
      </c>
      <c r="C253" s="47">
        <v>8158.3474999999999</v>
      </c>
      <c r="D253" s="47">
        <v>13200.646000000001</v>
      </c>
      <c r="E253" s="47">
        <v>15.422443389892578</v>
      </c>
      <c r="G253" s="47">
        <v>248</v>
      </c>
      <c r="H253" s="47">
        <v>7945.1205</v>
      </c>
      <c r="I253" s="47">
        <v>14</v>
      </c>
      <c r="J253" s="47">
        <v>12080.422</v>
      </c>
      <c r="K253" s="47">
        <v>18</v>
      </c>
      <c r="L253" s="47">
        <v>13.641864776611328</v>
      </c>
      <c r="M253" s="47">
        <v>16</v>
      </c>
    </row>
    <row r="254" spans="2:13">
      <c r="B254" s="47">
        <v>14</v>
      </c>
      <c r="C254" s="47">
        <v>8643.2180000000008</v>
      </c>
      <c r="D254" s="47">
        <v>12536.587</v>
      </c>
      <c r="E254" s="47">
        <v>14.447521209716797</v>
      </c>
      <c r="G254" s="47">
        <v>249</v>
      </c>
      <c r="H254" s="47">
        <v>7947.0855000000001</v>
      </c>
      <c r="I254" s="47">
        <v>20</v>
      </c>
      <c r="J254" s="47">
        <v>12081.634</v>
      </c>
      <c r="K254" s="47">
        <v>16</v>
      </c>
      <c r="L254" s="47">
        <v>13.659306526184082</v>
      </c>
      <c r="M254" s="47">
        <v>16</v>
      </c>
    </row>
    <row r="255" spans="2:13">
      <c r="B255" s="47">
        <v>14</v>
      </c>
      <c r="C255" s="47">
        <v>7828.6025</v>
      </c>
      <c r="D255" s="47">
        <v>12888.201999999999</v>
      </c>
      <c r="E255" s="47">
        <v>15.615663528442383</v>
      </c>
      <c r="G255" s="47">
        <v>250</v>
      </c>
      <c r="H255" s="47">
        <v>7951.8085000000001</v>
      </c>
      <c r="I255" s="47">
        <v>14</v>
      </c>
      <c r="J255" s="47">
        <v>12081.728999999999</v>
      </c>
      <c r="K255" s="47">
        <v>18</v>
      </c>
      <c r="L255" s="47">
        <v>13.663948059082031</v>
      </c>
      <c r="M255" s="47">
        <v>14</v>
      </c>
    </row>
    <row r="256" spans="2:13">
      <c r="B256" s="47">
        <v>14</v>
      </c>
      <c r="C256" s="47">
        <v>7935.6085000000003</v>
      </c>
      <c r="D256" s="47">
        <v>12588.785</v>
      </c>
      <c r="E256" s="47">
        <v>14.348115921020508</v>
      </c>
      <c r="G256" s="47">
        <v>251</v>
      </c>
      <c r="H256" s="47">
        <v>7959.1374999999998</v>
      </c>
      <c r="I256" s="47">
        <v>16</v>
      </c>
      <c r="J256" s="47">
        <v>12087.064</v>
      </c>
      <c r="K256" s="47">
        <v>16</v>
      </c>
      <c r="L256" s="47">
        <v>13.679931640625</v>
      </c>
      <c r="M256" s="47">
        <v>18</v>
      </c>
    </row>
    <row r="257" spans="2:13">
      <c r="B257" s="47">
        <v>14</v>
      </c>
      <c r="C257" s="47">
        <v>7970.0604999999996</v>
      </c>
      <c r="D257" s="47">
        <v>12703.974</v>
      </c>
      <c r="E257" s="47">
        <v>14.459376335144043</v>
      </c>
      <c r="G257" s="47">
        <v>252</v>
      </c>
      <c r="H257" s="47">
        <v>7960.1205</v>
      </c>
      <c r="I257" s="47">
        <v>18</v>
      </c>
      <c r="J257" s="47">
        <v>12090.888999999999</v>
      </c>
      <c r="K257" s="47">
        <v>6</v>
      </c>
      <c r="L257" s="47">
        <v>13.685076713562012</v>
      </c>
      <c r="M257" s="47">
        <v>16</v>
      </c>
    </row>
    <row r="258" spans="2:13">
      <c r="B258" s="47">
        <v>14</v>
      </c>
      <c r="C258" s="47">
        <v>7574.9324999999999</v>
      </c>
      <c r="D258" s="47">
        <v>13005.909</v>
      </c>
      <c r="E258" s="47">
        <v>16.450885772705078</v>
      </c>
      <c r="G258" s="47">
        <v>253</v>
      </c>
      <c r="H258" s="47">
        <v>7961.2614999999996</v>
      </c>
      <c r="I258" s="47">
        <v>16</v>
      </c>
      <c r="J258" s="47">
        <v>12103.352000000001</v>
      </c>
      <c r="K258" s="47">
        <v>14</v>
      </c>
      <c r="L258" s="47">
        <v>13.686276435852051</v>
      </c>
      <c r="M258" s="47">
        <v>20</v>
      </c>
    </row>
    <row r="259" spans="2:13">
      <c r="B259" s="47">
        <v>14</v>
      </c>
      <c r="C259" s="47">
        <v>7963.4709999999995</v>
      </c>
      <c r="D259" s="47">
        <v>12120.851000000001</v>
      </c>
      <c r="E259" s="47">
        <v>14.755260467529297</v>
      </c>
      <c r="G259" s="47">
        <v>254</v>
      </c>
      <c r="H259" s="47">
        <v>7962.4629999999997</v>
      </c>
      <c r="I259" s="47">
        <v>14</v>
      </c>
      <c r="J259" s="47">
        <v>12120.851000000001</v>
      </c>
      <c r="K259" s="47">
        <v>14</v>
      </c>
      <c r="L259" s="47">
        <v>13.687596321105957</v>
      </c>
      <c r="M259" s="47">
        <v>16</v>
      </c>
    </row>
    <row r="260" spans="2:13">
      <c r="B260" s="47">
        <v>14</v>
      </c>
      <c r="C260" s="47">
        <v>7680.8204999999998</v>
      </c>
      <c r="D260" s="47">
        <v>12835.061</v>
      </c>
      <c r="E260" s="47">
        <v>15.223983764648438</v>
      </c>
      <c r="G260" s="47">
        <v>255</v>
      </c>
      <c r="H260" s="47">
        <v>7963.4</v>
      </c>
      <c r="I260" s="47">
        <v>16</v>
      </c>
      <c r="J260" s="47">
        <v>12132.618</v>
      </c>
      <c r="K260" s="47">
        <v>18</v>
      </c>
      <c r="L260" s="47">
        <v>13.696569442749023</v>
      </c>
      <c r="M260" s="47">
        <v>16</v>
      </c>
    </row>
    <row r="261" spans="2:13">
      <c r="B261" s="47">
        <v>14</v>
      </c>
      <c r="C261" s="47">
        <v>7681.4960000000001</v>
      </c>
      <c r="D261" s="47">
        <v>12192.262000000001</v>
      </c>
      <c r="E261" s="47">
        <v>14.844147682189941</v>
      </c>
      <c r="G261" s="47">
        <v>256</v>
      </c>
      <c r="H261" s="47">
        <v>7963.4709999999995</v>
      </c>
      <c r="I261" s="47">
        <v>14</v>
      </c>
      <c r="J261" s="47">
        <v>12156.767</v>
      </c>
      <c r="K261" s="47">
        <v>18</v>
      </c>
      <c r="L261" s="47">
        <v>13.721676826477051</v>
      </c>
      <c r="M261" s="47">
        <v>14</v>
      </c>
    </row>
    <row r="262" spans="2:13">
      <c r="B262" s="47">
        <v>14</v>
      </c>
      <c r="C262" s="47">
        <v>8172.5915000000005</v>
      </c>
      <c r="D262" s="47">
        <v>12103.352000000001</v>
      </c>
      <c r="E262" s="47">
        <v>13.721676826477051</v>
      </c>
      <c r="G262" s="47">
        <v>257</v>
      </c>
      <c r="H262" s="47">
        <v>7969.4690000000001</v>
      </c>
      <c r="I262" s="47">
        <v>16</v>
      </c>
      <c r="J262" s="47">
        <v>12160.609</v>
      </c>
      <c r="K262" s="47">
        <v>16</v>
      </c>
      <c r="L262" s="47">
        <v>13.731443405151367</v>
      </c>
      <c r="M262" s="47">
        <v>16</v>
      </c>
    </row>
    <row r="263" spans="2:13">
      <c r="B263" s="47">
        <v>14</v>
      </c>
      <c r="C263" s="47">
        <v>8167.6205</v>
      </c>
      <c r="D263" s="47">
        <v>13172.237999999999</v>
      </c>
      <c r="E263" s="47">
        <v>15.454901695251465</v>
      </c>
      <c r="G263" s="47">
        <v>258</v>
      </c>
      <c r="H263" s="47">
        <v>7970.0604999999996</v>
      </c>
      <c r="I263" s="47">
        <v>14</v>
      </c>
      <c r="J263" s="47">
        <v>12160.717000000001</v>
      </c>
      <c r="K263" s="47">
        <v>18</v>
      </c>
      <c r="L263" s="47">
        <v>13.741439819335938</v>
      </c>
      <c r="M263" s="47">
        <v>18</v>
      </c>
    </row>
    <row r="264" spans="2:13">
      <c r="B264" s="47">
        <v>14</v>
      </c>
      <c r="C264" s="47">
        <v>8023.3235000000004</v>
      </c>
      <c r="D264" s="47">
        <v>13386.279</v>
      </c>
      <c r="E264" s="47">
        <v>15.810877799987793</v>
      </c>
      <c r="G264" s="47">
        <v>259</v>
      </c>
      <c r="H264" s="47">
        <v>7972.1035000000002</v>
      </c>
      <c r="I264" s="47">
        <v>18</v>
      </c>
      <c r="J264" s="47">
        <v>12162.334999999999</v>
      </c>
      <c r="K264" s="47">
        <v>16</v>
      </c>
      <c r="L264" s="47">
        <v>13.754462242126465</v>
      </c>
      <c r="M264" s="47">
        <v>16</v>
      </c>
    </row>
    <row r="265" spans="2:13">
      <c r="B265" s="47">
        <v>14</v>
      </c>
      <c r="C265" s="47">
        <v>8060.13</v>
      </c>
      <c r="D265" s="47">
        <v>12444.278</v>
      </c>
      <c r="E265" s="47">
        <v>14.67646312713623</v>
      </c>
      <c r="G265" s="47">
        <v>260</v>
      </c>
      <c r="H265" s="47">
        <v>7975.643</v>
      </c>
      <c r="I265" s="47">
        <v>18</v>
      </c>
      <c r="J265" s="47">
        <v>12164.101000000001</v>
      </c>
      <c r="K265" s="47">
        <v>14</v>
      </c>
      <c r="L265" s="47">
        <v>13.756754875183105</v>
      </c>
      <c r="M265" s="47">
        <v>16</v>
      </c>
    </row>
    <row r="266" spans="2:13">
      <c r="B266" s="47">
        <v>14</v>
      </c>
      <c r="C266" s="47">
        <v>8117.1030000000001</v>
      </c>
      <c r="D266" s="47">
        <v>12699.089</v>
      </c>
      <c r="E266" s="47">
        <v>15.371742248535156</v>
      </c>
      <c r="G266" s="47">
        <v>261</v>
      </c>
      <c r="H266" s="47">
        <v>7977.6885000000002</v>
      </c>
      <c r="I266" s="47">
        <v>14</v>
      </c>
      <c r="J266" s="47">
        <v>12167.803</v>
      </c>
      <c r="K266" s="47">
        <v>18</v>
      </c>
      <c r="L266" s="47">
        <v>13.822353363037109</v>
      </c>
      <c r="M266" s="47">
        <v>16</v>
      </c>
    </row>
    <row r="267" spans="2:13">
      <c r="B267" s="47">
        <v>14</v>
      </c>
      <c r="C267" s="47">
        <v>7397.9525000000003</v>
      </c>
      <c r="D267" s="47">
        <v>13182.813</v>
      </c>
      <c r="E267" s="47">
        <v>16.278247833251953</v>
      </c>
      <c r="G267" s="47">
        <v>262</v>
      </c>
      <c r="H267" s="47">
        <v>7980.7830000000004</v>
      </c>
      <c r="I267" s="47">
        <v>20</v>
      </c>
      <c r="J267" s="47">
        <v>12171.002</v>
      </c>
      <c r="K267" s="47">
        <v>16</v>
      </c>
      <c r="L267" s="47">
        <v>13.833733558654785</v>
      </c>
      <c r="M267" s="47">
        <v>18</v>
      </c>
    </row>
    <row r="268" spans="2:13">
      <c r="B268" s="47">
        <v>14</v>
      </c>
      <c r="C268" s="47">
        <v>7951.8085000000001</v>
      </c>
      <c r="D268" s="47">
        <v>12610.069</v>
      </c>
      <c r="E268" s="47">
        <v>13.843864440917969</v>
      </c>
      <c r="G268" s="47">
        <v>263</v>
      </c>
      <c r="H268" s="47">
        <v>7980.9835000000003</v>
      </c>
      <c r="I268" s="47">
        <v>12</v>
      </c>
      <c r="J268" s="47">
        <v>12173.144</v>
      </c>
      <c r="K268" s="47">
        <v>14</v>
      </c>
      <c r="L268" s="47">
        <v>13.843864440917969</v>
      </c>
      <c r="M268" s="47">
        <v>14</v>
      </c>
    </row>
    <row r="269" spans="2:13">
      <c r="B269" s="47">
        <v>14</v>
      </c>
      <c r="C269" s="47">
        <v>7852.8625000000002</v>
      </c>
      <c r="D269" s="47">
        <v>12164.101000000001</v>
      </c>
      <c r="E269" s="47">
        <v>14.946480751037598</v>
      </c>
      <c r="G269" s="47">
        <v>264</v>
      </c>
      <c r="H269" s="47">
        <v>7983.9319999999998</v>
      </c>
      <c r="I269" s="47">
        <v>16</v>
      </c>
      <c r="J269" s="47">
        <v>12173.232</v>
      </c>
      <c r="K269" s="47">
        <v>16</v>
      </c>
      <c r="L269" s="47">
        <v>13.845535278320313</v>
      </c>
      <c r="M269" s="47">
        <v>16</v>
      </c>
    </row>
    <row r="270" spans="2:13">
      <c r="B270" s="47">
        <v>14</v>
      </c>
      <c r="C270" s="47">
        <v>8193.7919999999995</v>
      </c>
      <c r="D270" s="47">
        <v>12830.767</v>
      </c>
      <c r="E270" s="47">
        <v>14.188843727111816</v>
      </c>
      <c r="G270" s="47">
        <v>265</v>
      </c>
      <c r="H270" s="47">
        <v>7984.3720000000003</v>
      </c>
      <c r="I270" s="47">
        <v>14</v>
      </c>
      <c r="J270" s="47">
        <v>12176.922</v>
      </c>
      <c r="K270" s="47">
        <v>16</v>
      </c>
      <c r="L270" s="47">
        <v>13.891035079956055</v>
      </c>
      <c r="M270" s="47">
        <v>14</v>
      </c>
    </row>
    <row r="271" spans="2:13">
      <c r="B271" s="47">
        <v>14</v>
      </c>
      <c r="C271" s="47">
        <v>7905.241</v>
      </c>
      <c r="D271" s="47">
        <v>12012.548000000001</v>
      </c>
      <c r="E271" s="47">
        <v>14.239205360412598</v>
      </c>
      <c r="G271" s="47">
        <v>266</v>
      </c>
      <c r="H271" s="47">
        <v>7986.7969999999996</v>
      </c>
      <c r="I271" s="47">
        <v>16</v>
      </c>
      <c r="J271" s="47">
        <v>12186.665999999999</v>
      </c>
      <c r="K271" s="47">
        <v>16</v>
      </c>
      <c r="L271" s="47">
        <v>13.91913890838623</v>
      </c>
      <c r="M271" s="47">
        <v>18</v>
      </c>
    </row>
    <row r="272" spans="2:13">
      <c r="B272" s="47">
        <v>14</v>
      </c>
      <c r="C272" s="47">
        <v>7857.8834999999999</v>
      </c>
      <c r="D272" s="47">
        <v>12215.914000000001</v>
      </c>
      <c r="E272" s="47">
        <v>14.545918464660645</v>
      </c>
      <c r="G272" s="47">
        <v>267</v>
      </c>
      <c r="H272" s="47">
        <v>7990.0720000000001</v>
      </c>
      <c r="I272" s="47">
        <v>20</v>
      </c>
      <c r="J272" s="47">
        <v>12192.262000000001</v>
      </c>
      <c r="K272" s="47">
        <v>14</v>
      </c>
      <c r="L272" s="47">
        <v>13.920162200927734</v>
      </c>
      <c r="M272" s="47">
        <v>16</v>
      </c>
    </row>
    <row r="273" spans="2:13">
      <c r="B273" s="47">
        <v>14</v>
      </c>
      <c r="C273" s="47">
        <v>8093.2690000000002</v>
      </c>
      <c r="D273" s="47">
        <v>12173.144</v>
      </c>
      <c r="E273" s="47">
        <v>14.548342704772949</v>
      </c>
      <c r="G273" s="47">
        <v>268</v>
      </c>
      <c r="H273" s="47">
        <v>7990.2120000000004</v>
      </c>
      <c r="I273" s="47">
        <v>16</v>
      </c>
      <c r="J273" s="47">
        <v>12207.674000000001</v>
      </c>
      <c r="K273" s="47">
        <v>16</v>
      </c>
      <c r="L273" s="47">
        <v>13.994297981262207</v>
      </c>
      <c r="M273" s="47">
        <v>16</v>
      </c>
    </row>
    <row r="274" spans="2:13">
      <c r="B274" s="47">
        <v>14</v>
      </c>
      <c r="C274" s="47">
        <v>7915.2430000000004</v>
      </c>
      <c r="D274" s="47">
        <v>12934.394</v>
      </c>
      <c r="E274" s="47">
        <v>15.285244941711426</v>
      </c>
      <c r="G274" s="47">
        <v>269</v>
      </c>
      <c r="H274" s="47">
        <v>7990.6085000000003</v>
      </c>
      <c r="I274" s="47">
        <v>12</v>
      </c>
      <c r="J274" s="47">
        <v>12211.864</v>
      </c>
      <c r="K274" s="47">
        <v>14</v>
      </c>
      <c r="L274" s="47">
        <v>14.00206184387207</v>
      </c>
      <c r="M274" s="47">
        <v>14</v>
      </c>
    </row>
    <row r="275" spans="2:13">
      <c r="B275" s="47">
        <v>14</v>
      </c>
      <c r="C275" s="47">
        <v>8120.4414999999999</v>
      </c>
      <c r="D275" s="47">
        <v>12223.687</v>
      </c>
      <c r="E275" s="47">
        <v>14.579719543457031</v>
      </c>
      <c r="G275" s="47">
        <v>270</v>
      </c>
      <c r="H275" s="47">
        <v>7993.2484999999997</v>
      </c>
      <c r="I275" s="47">
        <v>14</v>
      </c>
      <c r="J275" s="47">
        <v>12215.914000000001</v>
      </c>
      <c r="K275" s="47">
        <v>14</v>
      </c>
      <c r="L275" s="47">
        <v>14.011149406433105</v>
      </c>
      <c r="M275" s="47">
        <v>16</v>
      </c>
    </row>
    <row r="276" spans="2:13">
      <c r="B276" s="47">
        <v>16</v>
      </c>
      <c r="C276" s="47">
        <v>8173.6379999999999</v>
      </c>
      <c r="D276" s="47">
        <v>12898.733</v>
      </c>
      <c r="E276" s="47">
        <v>13.253626823425293</v>
      </c>
      <c r="G276" s="47">
        <v>271</v>
      </c>
      <c r="H276" s="47">
        <v>7997.3360000000002</v>
      </c>
      <c r="I276" s="47">
        <v>16</v>
      </c>
      <c r="J276" s="47">
        <v>12219.700999999999</v>
      </c>
      <c r="K276" s="47">
        <v>18</v>
      </c>
      <c r="L276" s="47">
        <v>14.013809204101563</v>
      </c>
      <c r="M276" s="47">
        <v>16</v>
      </c>
    </row>
    <row r="277" spans="2:13">
      <c r="B277" s="47">
        <v>16</v>
      </c>
      <c r="C277" s="47">
        <v>8556.1790000000001</v>
      </c>
      <c r="D277" s="47">
        <v>11300.178</v>
      </c>
      <c r="E277" s="47">
        <v>13.503764152526855</v>
      </c>
      <c r="G277" s="47">
        <v>272</v>
      </c>
      <c r="H277" s="47">
        <v>7997.4234999999999</v>
      </c>
      <c r="I277" s="47">
        <v>12</v>
      </c>
      <c r="J277" s="47">
        <v>12223.687</v>
      </c>
      <c r="K277" s="47">
        <v>14</v>
      </c>
      <c r="L277" s="47">
        <v>14.014244079589844</v>
      </c>
      <c r="M277" s="47">
        <v>16</v>
      </c>
    </row>
    <row r="278" spans="2:13">
      <c r="B278" s="47">
        <v>16</v>
      </c>
      <c r="C278" s="47">
        <v>8473.3580000000002</v>
      </c>
      <c r="D278" s="47">
        <v>12173.232</v>
      </c>
      <c r="E278" s="47">
        <v>13.210948944091797</v>
      </c>
      <c r="G278" s="47">
        <v>273</v>
      </c>
      <c r="H278" s="47">
        <v>7999.6049999999996</v>
      </c>
      <c r="I278" s="47">
        <v>14</v>
      </c>
      <c r="J278" s="47">
        <v>12229.552</v>
      </c>
      <c r="K278" s="47">
        <v>20</v>
      </c>
      <c r="L278" s="47">
        <v>14.03359317779541</v>
      </c>
      <c r="M278" s="47">
        <v>18</v>
      </c>
    </row>
    <row r="279" spans="2:13">
      <c r="B279" s="47">
        <v>16</v>
      </c>
      <c r="C279" s="47">
        <v>8317.5845000000008</v>
      </c>
      <c r="D279" s="47">
        <v>11959.753000000001</v>
      </c>
      <c r="E279" s="47">
        <v>13.307661056518555</v>
      </c>
      <c r="G279" s="47">
        <v>274</v>
      </c>
      <c r="H279" s="47">
        <v>8001.7690000000002</v>
      </c>
      <c r="I279" s="47">
        <v>16</v>
      </c>
      <c r="J279" s="47">
        <v>12232.473</v>
      </c>
      <c r="K279" s="47">
        <v>14</v>
      </c>
      <c r="L279" s="47">
        <v>14.080909729003906</v>
      </c>
      <c r="M279" s="47">
        <v>16</v>
      </c>
    </row>
    <row r="280" spans="2:13">
      <c r="B280" s="47">
        <v>16</v>
      </c>
      <c r="C280" s="47">
        <v>8243.6744999999992</v>
      </c>
      <c r="D280" s="47">
        <v>12160.609</v>
      </c>
      <c r="E280" s="47">
        <v>14.013809204101563</v>
      </c>
      <c r="G280" s="47">
        <v>275</v>
      </c>
      <c r="H280" s="47">
        <v>8007.4264999999996</v>
      </c>
      <c r="I280" s="47">
        <v>12</v>
      </c>
      <c r="J280" s="47">
        <v>12233.844999999999</v>
      </c>
      <c r="K280" s="47">
        <v>16</v>
      </c>
      <c r="L280" s="47">
        <v>14.081181526184082</v>
      </c>
      <c r="M280" s="47">
        <v>16</v>
      </c>
    </row>
    <row r="281" spans="2:13">
      <c r="B281" s="47">
        <v>16</v>
      </c>
      <c r="C281" s="47">
        <v>7986.7969999999996</v>
      </c>
      <c r="D281" s="47">
        <v>11963.218000000001</v>
      </c>
      <c r="E281" s="47">
        <v>13.192981719970703</v>
      </c>
      <c r="G281" s="47">
        <v>276</v>
      </c>
      <c r="H281" s="47">
        <v>8009.7825000000003</v>
      </c>
      <c r="I281" s="47">
        <v>14</v>
      </c>
      <c r="J281" s="47">
        <v>12235.995999999999</v>
      </c>
      <c r="K281" s="47">
        <v>14</v>
      </c>
      <c r="L281" s="47">
        <v>14.112170219421387</v>
      </c>
      <c r="M281" s="47">
        <v>16</v>
      </c>
    </row>
    <row r="282" spans="2:13">
      <c r="B282" s="47">
        <v>16</v>
      </c>
      <c r="C282" s="47">
        <v>8656.6949999999997</v>
      </c>
      <c r="D282" s="47">
        <v>12398.004999999999</v>
      </c>
      <c r="E282" s="47">
        <v>14.011149406433105</v>
      </c>
      <c r="G282" s="47">
        <v>277</v>
      </c>
      <c r="H282" s="47">
        <v>8021.3149999999996</v>
      </c>
      <c r="I282" s="47">
        <v>14</v>
      </c>
      <c r="J282" s="47">
        <v>12250.027</v>
      </c>
      <c r="K282" s="47">
        <v>16</v>
      </c>
      <c r="L282" s="47">
        <v>14.117085456848145</v>
      </c>
      <c r="M282" s="47">
        <v>16</v>
      </c>
    </row>
    <row r="283" spans="2:13">
      <c r="B283" s="47">
        <v>16</v>
      </c>
      <c r="C283" s="47">
        <v>7853.4719999999998</v>
      </c>
      <c r="D283" s="47">
        <v>12025.766</v>
      </c>
      <c r="E283" s="47">
        <v>13.477879524230957</v>
      </c>
      <c r="G283" s="47">
        <v>278</v>
      </c>
      <c r="H283" s="47">
        <v>8023.3235000000004</v>
      </c>
      <c r="I283" s="47">
        <v>14</v>
      </c>
      <c r="J283" s="47">
        <v>12260.069</v>
      </c>
      <c r="K283" s="47">
        <v>18</v>
      </c>
      <c r="L283" s="47">
        <v>14.129061698913574</v>
      </c>
      <c r="M283" s="47">
        <v>16</v>
      </c>
    </row>
    <row r="284" spans="2:13">
      <c r="B284" s="47">
        <v>16</v>
      </c>
      <c r="C284" s="47">
        <v>7925.1220000000003</v>
      </c>
      <c r="D284" s="47">
        <v>10881.312</v>
      </c>
      <c r="E284" s="47">
        <v>11.946213722229004</v>
      </c>
      <c r="G284" s="47">
        <v>279</v>
      </c>
      <c r="H284" s="47">
        <v>8023.8474999999999</v>
      </c>
      <c r="I284" s="47">
        <v>18</v>
      </c>
      <c r="J284" s="47">
        <v>12267.537</v>
      </c>
      <c r="K284" s="47">
        <v>16</v>
      </c>
      <c r="L284" s="47">
        <v>14.152168273925781</v>
      </c>
      <c r="M284" s="47">
        <v>16</v>
      </c>
    </row>
    <row r="285" spans="2:13">
      <c r="B285" s="47">
        <v>16</v>
      </c>
      <c r="C285" s="47">
        <v>8238.5650000000005</v>
      </c>
      <c r="D285" s="47">
        <v>11296.22</v>
      </c>
      <c r="E285" s="47">
        <v>11.90787410736084</v>
      </c>
      <c r="G285" s="47">
        <v>280</v>
      </c>
      <c r="H285" s="47">
        <v>8035.2015000000001</v>
      </c>
      <c r="I285" s="47">
        <v>16</v>
      </c>
      <c r="J285" s="47">
        <v>12273.257</v>
      </c>
      <c r="K285" s="47">
        <v>16</v>
      </c>
      <c r="L285" s="47">
        <v>14.188843727111816</v>
      </c>
      <c r="M285" s="47">
        <v>14</v>
      </c>
    </row>
    <row r="286" spans="2:13">
      <c r="B286" s="47">
        <v>16</v>
      </c>
      <c r="C286" s="47">
        <v>8254.5665000000008</v>
      </c>
      <c r="D286" s="47">
        <v>11637.455</v>
      </c>
      <c r="E286" s="47">
        <v>12.118688583374023</v>
      </c>
      <c r="G286" s="47">
        <v>281</v>
      </c>
      <c r="H286" s="47">
        <v>8040.4274999999998</v>
      </c>
      <c r="I286" s="47">
        <v>18</v>
      </c>
      <c r="J286" s="47">
        <v>12285.712</v>
      </c>
      <c r="K286" s="47">
        <v>16</v>
      </c>
      <c r="L286" s="47">
        <v>14.239205360412598</v>
      </c>
      <c r="M286" s="47">
        <v>14</v>
      </c>
    </row>
    <row r="287" spans="2:13">
      <c r="B287" s="47">
        <v>16</v>
      </c>
      <c r="C287" s="47">
        <v>7959.1374999999998</v>
      </c>
      <c r="D287" s="47">
        <v>11390.313</v>
      </c>
      <c r="E287" s="47">
        <v>12.910773277282715</v>
      </c>
      <c r="G287" s="47">
        <v>282</v>
      </c>
      <c r="H287" s="47">
        <v>8041.1109999999999</v>
      </c>
      <c r="I287" s="47">
        <v>18</v>
      </c>
      <c r="J287" s="47">
        <v>12287.157999999999</v>
      </c>
      <c r="K287" s="47">
        <v>18</v>
      </c>
      <c r="L287" s="47">
        <v>14.262596130371094</v>
      </c>
      <c r="M287" s="47">
        <v>16</v>
      </c>
    </row>
    <row r="288" spans="2:13">
      <c r="B288" s="47">
        <v>16</v>
      </c>
      <c r="C288" s="47">
        <v>8113.4250000000002</v>
      </c>
      <c r="D288" s="47">
        <v>12023.162</v>
      </c>
      <c r="E288" s="47">
        <v>13.731443405151367</v>
      </c>
      <c r="G288" s="47">
        <v>283</v>
      </c>
      <c r="H288" s="47">
        <v>8043.9570000000003</v>
      </c>
      <c r="I288" s="47">
        <v>14</v>
      </c>
      <c r="J288" s="47">
        <v>12323.299000000001</v>
      </c>
      <c r="K288" s="47">
        <v>18</v>
      </c>
      <c r="L288" s="47">
        <v>14.284689903259277</v>
      </c>
      <c r="M288" s="47">
        <v>14</v>
      </c>
    </row>
    <row r="289" spans="2:13">
      <c r="B289" s="47">
        <v>16</v>
      </c>
      <c r="C289" s="47">
        <v>8290.4660000000003</v>
      </c>
      <c r="D289" s="47">
        <v>11034.964</v>
      </c>
      <c r="E289" s="47">
        <v>12.045499801635742</v>
      </c>
      <c r="G289" s="47">
        <v>284</v>
      </c>
      <c r="H289" s="47">
        <v>8048.9660000000003</v>
      </c>
      <c r="I289" s="47">
        <v>16</v>
      </c>
      <c r="J289" s="47">
        <v>12327.271000000001</v>
      </c>
      <c r="K289" s="47">
        <v>6</v>
      </c>
      <c r="L289" s="47">
        <v>14.315909385681152</v>
      </c>
      <c r="M289" s="47">
        <v>18</v>
      </c>
    </row>
    <row r="290" spans="2:13">
      <c r="B290" s="47">
        <v>16</v>
      </c>
      <c r="C290" s="47">
        <v>8195.9680000000008</v>
      </c>
      <c r="D290" s="47">
        <v>11895.207</v>
      </c>
      <c r="E290" s="47">
        <v>13.114522933959961</v>
      </c>
      <c r="G290" s="47">
        <v>285</v>
      </c>
      <c r="H290" s="47">
        <v>8049.7780000000002</v>
      </c>
      <c r="I290" s="47">
        <v>16</v>
      </c>
      <c r="J290" s="47">
        <v>12337.031999999999</v>
      </c>
      <c r="K290" s="47">
        <v>18</v>
      </c>
      <c r="L290" s="47">
        <v>14.329156875610352</v>
      </c>
      <c r="M290" s="47">
        <v>16</v>
      </c>
    </row>
    <row r="291" spans="2:13">
      <c r="B291" s="47">
        <v>16</v>
      </c>
      <c r="C291" s="47">
        <v>8322.8714999999993</v>
      </c>
      <c r="D291" s="47">
        <v>12186.665999999999</v>
      </c>
      <c r="E291" s="47">
        <v>13.015888214111328</v>
      </c>
      <c r="G291" s="47">
        <v>286</v>
      </c>
      <c r="H291" s="47">
        <v>8052.2049999999999</v>
      </c>
      <c r="I291" s="47">
        <v>14</v>
      </c>
      <c r="J291" s="47">
        <v>12340.678</v>
      </c>
      <c r="K291" s="47">
        <v>16</v>
      </c>
      <c r="L291" s="47">
        <v>14.348115921020508</v>
      </c>
      <c r="M291" s="47">
        <v>14</v>
      </c>
    </row>
    <row r="292" spans="2:13">
      <c r="B292" s="47">
        <v>16</v>
      </c>
      <c r="C292" s="47">
        <v>8524.4330000000009</v>
      </c>
      <c r="D292" s="47">
        <v>10890.423000000001</v>
      </c>
      <c r="E292" s="47">
        <v>11.921449661254883</v>
      </c>
      <c r="G292" s="47">
        <v>287</v>
      </c>
      <c r="H292" s="47">
        <v>8053.9144999999999</v>
      </c>
      <c r="I292" s="47">
        <v>16</v>
      </c>
      <c r="J292" s="47">
        <v>12358.195</v>
      </c>
      <c r="K292" s="47">
        <v>16</v>
      </c>
      <c r="L292" s="47">
        <v>14.381908416748047</v>
      </c>
      <c r="M292" s="47">
        <v>14</v>
      </c>
    </row>
    <row r="293" spans="2:13">
      <c r="B293" s="47">
        <v>16</v>
      </c>
      <c r="C293" s="47">
        <v>8187.8360000000002</v>
      </c>
      <c r="D293" s="47">
        <v>11175.722</v>
      </c>
      <c r="E293" s="47">
        <v>12.349394798278809</v>
      </c>
      <c r="G293" s="47">
        <v>288</v>
      </c>
      <c r="H293" s="47">
        <v>8055.4684999999999</v>
      </c>
      <c r="I293" s="47">
        <v>20</v>
      </c>
      <c r="J293" s="47">
        <v>12362.715</v>
      </c>
      <c r="K293" s="47">
        <v>14</v>
      </c>
      <c r="L293" s="47">
        <v>14.398818969726563</v>
      </c>
      <c r="M293" s="47">
        <v>16</v>
      </c>
    </row>
    <row r="294" spans="2:13">
      <c r="B294" s="47">
        <v>16</v>
      </c>
      <c r="C294" s="47">
        <v>8274.3850000000002</v>
      </c>
      <c r="D294" s="47">
        <v>11427.796</v>
      </c>
      <c r="E294" s="47">
        <v>13.659306526184082</v>
      </c>
      <c r="G294" s="47">
        <v>289</v>
      </c>
      <c r="H294" s="47">
        <v>8057.5020000000004</v>
      </c>
      <c r="I294" s="47">
        <v>16</v>
      </c>
      <c r="J294" s="47">
        <v>12374.013000000001</v>
      </c>
      <c r="K294" s="47">
        <v>20</v>
      </c>
      <c r="L294" s="47">
        <v>14.430496215820313</v>
      </c>
      <c r="M294" s="47">
        <v>14</v>
      </c>
    </row>
    <row r="295" spans="2:13">
      <c r="B295" s="47">
        <v>16</v>
      </c>
      <c r="C295" s="47">
        <v>8361.1144999999997</v>
      </c>
      <c r="D295" s="47">
        <v>11960.228999999999</v>
      </c>
      <c r="E295" s="47">
        <v>13.417252540588379</v>
      </c>
      <c r="G295" s="47">
        <v>290</v>
      </c>
      <c r="H295" s="47">
        <v>8060.13</v>
      </c>
      <c r="I295" s="47">
        <v>14</v>
      </c>
      <c r="J295" s="47">
        <v>12380.664000000001</v>
      </c>
      <c r="K295" s="47">
        <v>14</v>
      </c>
      <c r="L295" s="47">
        <v>14.440387725830078</v>
      </c>
      <c r="M295" s="47">
        <v>16</v>
      </c>
    </row>
    <row r="296" spans="2:13">
      <c r="B296" s="47">
        <v>16</v>
      </c>
      <c r="C296" s="47">
        <v>8305.1919999999991</v>
      </c>
      <c r="D296" s="47">
        <v>11415.834000000001</v>
      </c>
      <c r="E296" s="47">
        <v>12.443376541137695</v>
      </c>
      <c r="G296" s="47">
        <v>291</v>
      </c>
      <c r="H296" s="47">
        <v>8066.643</v>
      </c>
      <c r="I296" s="47">
        <v>18</v>
      </c>
      <c r="J296" s="47">
        <v>12385.584999999999</v>
      </c>
      <c r="K296" s="47">
        <v>14</v>
      </c>
      <c r="L296" s="47">
        <v>14.447521209716797</v>
      </c>
      <c r="M296" s="47">
        <v>14</v>
      </c>
    </row>
    <row r="297" spans="2:13">
      <c r="B297" s="47">
        <v>16</v>
      </c>
      <c r="C297" s="47">
        <v>8752.4040000000005</v>
      </c>
      <c r="D297" s="47">
        <v>12002.617</v>
      </c>
      <c r="E297" s="47">
        <v>13.696569442749023</v>
      </c>
      <c r="G297" s="47">
        <v>292</v>
      </c>
      <c r="H297" s="47">
        <v>8071.6880000000001</v>
      </c>
      <c r="I297" s="47">
        <v>18</v>
      </c>
      <c r="J297" s="47">
        <v>12390.43</v>
      </c>
      <c r="K297" s="47">
        <v>16</v>
      </c>
      <c r="L297" s="47">
        <v>14.459376335144043</v>
      </c>
      <c r="M297" s="47">
        <v>14</v>
      </c>
    </row>
    <row r="298" spans="2:13">
      <c r="B298" s="47">
        <v>16</v>
      </c>
      <c r="C298" s="47">
        <v>9076.3490000000002</v>
      </c>
      <c r="D298" s="47">
        <v>11939.718000000001</v>
      </c>
      <c r="E298" s="47">
        <v>13.496177673339844</v>
      </c>
      <c r="G298" s="47">
        <v>293</v>
      </c>
      <c r="H298" s="47">
        <v>8072.3924999999999</v>
      </c>
      <c r="I298" s="47">
        <v>14</v>
      </c>
      <c r="J298" s="47">
        <v>12398.004999999999</v>
      </c>
      <c r="K298" s="47">
        <v>16</v>
      </c>
      <c r="L298" s="47">
        <v>14.472825050354004</v>
      </c>
      <c r="M298" s="47">
        <v>16</v>
      </c>
    </row>
    <row r="299" spans="2:13">
      <c r="B299" s="47">
        <v>16</v>
      </c>
      <c r="C299" s="47">
        <v>7828.3135000000002</v>
      </c>
      <c r="D299" s="47">
        <v>11337.442999999999</v>
      </c>
      <c r="E299" s="47">
        <v>12.579401969909668</v>
      </c>
      <c r="G299" s="47">
        <v>294</v>
      </c>
      <c r="H299" s="47">
        <v>8079.2735000000002</v>
      </c>
      <c r="I299" s="47">
        <v>20</v>
      </c>
      <c r="J299" s="47">
        <v>12418.16</v>
      </c>
      <c r="K299" s="47">
        <v>16</v>
      </c>
      <c r="L299" s="47">
        <v>14.481236457824707</v>
      </c>
      <c r="M299" s="47">
        <v>16</v>
      </c>
    </row>
    <row r="300" spans="2:13">
      <c r="B300" s="47">
        <v>16</v>
      </c>
      <c r="C300" s="47">
        <v>8048.9660000000003</v>
      </c>
      <c r="D300" s="47">
        <v>11994.058999999999</v>
      </c>
      <c r="E300" s="47">
        <v>13.230360984802246</v>
      </c>
      <c r="G300" s="47">
        <v>295</v>
      </c>
      <c r="H300" s="47">
        <v>8082.1424999999999</v>
      </c>
      <c r="I300" s="47">
        <v>18</v>
      </c>
      <c r="J300" s="47">
        <v>12423.031999999999</v>
      </c>
      <c r="K300" s="47">
        <v>20</v>
      </c>
      <c r="L300" s="47">
        <v>14.482855796813965</v>
      </c>
      <c r="M300" s="47">
        <v>14</v>
      </c>
    </row>
    <row r="301" spans="2:13">
      <c r="B301" s="47">
        <v>16</v>
      </c>
      <c r="C301" s="47">
        <v>8107.5320000000002</v>
      </c>
      <c r="D301" s="47">
        <v>11965.358</v>
      </c>
      <c r="E301" s="47">
        <v>12.656781196594238</v>
      </c>
      <c r="G301" s="47">
        <v>296</v>
      </c>
      <c r="H301" s="47">
        <v>8084.9454999999998</v>
      </c>
      <c r="I301" s="47">
        <v>16</v>
      </c>
      <c r="J301" s="47">
        <v>12427.741</v>
      </c>
      <c r="K301" s="47">
        <v>14</v>
      </c>
      <c r="L301" s="47">
        <v>14.495588302612305</v>
      </c>
      <c r="M301" s="47">
        <v>14</v>
      </c>
    </row>
    <row r="302" spans="2:13">
      <c r="B302" s="47">
        <v>16</v>
      </c>
      <c r="C302" s="47">
        <v>7997.3360000000002</v>
      </c>
      <c r="D302" s="47">
        <v>11299.42</v>
      </c>
      <c r="E302" s="47">
        <v>12.99124813079834</v>
      </c>
      <c r="G302" s="47">
        <v>297</v>
      </c>
      <c r="H302" s="47">
        <v>8088.2809999999999</v>
      </c>
      <c r="I302" s="47">
        <v>12</v>
      </c>
      <c r="J302" s="47">
        <v>12429.627</v>
      </c>
      <c r="K302" s="47">
        <v>14</v>
      </c>
      <c r="L302" s="47">
        <v>14.521425247192383</v>
      </c>
      <c r="M302" s="47">
        <v>16</v>
      </c>
    </row>
    <row r="303" spans="2:13">
      <c r="B303" s="47">
        <v>16</v>
      </c>
      <c r="C303" s="47">
        <v>8221.1049999999996</v>
      </c>
      <c r="D303" s="47">
        <v>11722.093999999999</v>
      </c>
      <c r="E303" s="47">
        <v>12.717411994934082</v>
      </c>
      <c r="G303" s="47">
        <v>298</v>
      </c>
      <c r="H303" s="47">
        <v>8090.9080000000004</v>
      </c>
      <c r="I303" s="47">
        <v>16</v>
      </c>
      <c r="J303" s="47">
        <v>12432.407999999999</v>
      </c>
      <c r="K303" s="47">
        <v>18</v>
      </c>
      <c r="L303" s="47">
        <v>14.540904998779297</v>
      </c>
      <c r="M303" s="47">
        <v>16</v>
      </c>
    </row>
    <row r="304" spans="2:13">
      <c r="B304" s="47">
        <v>16</v>
      </c>
      <c r="C304" s="47">
        <v>7859.9</v>
      </c>
      <c r="D304" s="47">
        <v>11542.385</v>
      </c>
      <c r="E304" s="47">
        <v>13.482427597045898</v>
      </c>
      <c r="G304" s="47">
        <v>299</v>
      </c>
      <c r="H304" s="47">
        <v>8091.2044999999998</v>
      </c>
      <c r="I304" s="47">
        <v>18</v>
      </c>
      <c r="J304" s="47">
        <v>12433.504000000001</v>
      </c>
      <c r="K304" s="47">
        <v>16</v>
      </c>
      <c r="L304" s="47">
        <v>14.545557975769043</v>
      </c>
      <c r="M304" s="47">
        <v>16</v>
      </c>
    </row>
    <row r="305" spans="2:13">
      <c r="B305" s="47">
        <v>16</v>
      </c>
      <c r="C305" s="47">
        <v>8512.2909999999993</v>
      </c>
      <c r="D305" s="47">
        <v>11946.736000000001</v>
      </c>
      <c r="E305" s="47">
        <v>11.964569091796875</v>
      </c>
      <c r="G305" s="47">
        <v>300</v>
      </c>
      <c r="H305" s="47">
        <v>8092.3924999999999</v>
      </c>
      <c r="I305" s="47">
        <v>18</v>
      </c>
      <c r="J305" s="47">
        <v>12434.628000000001</v>
      </c>
      <c r="K305" s="47">
        <v>14</v>
      </c>
      <c r="L305" s="47">
        <v>14.545918464660645</v>
      </c>
      <c r="M305" s="47">
        <v>14</v>
      </c>
    </row>
    <row r="306" spans="2:13">
      <c r="B306" s="47">
        <v>16</v>
      </c>
      <c r="C306" s="47">
        <v>8608.0079999999998</v>
      </c>
      <c r="D306" s="47">
        <v>11508.758</v>
      </c>
      <c r="E306" s="47">
        <v>14.014244079589844</v>
      </c>
      <c r="G306" s="47">
        <v>301</v>
      </c>
      <c r="H306" s="47">
        <v>8093.2690000000002</v>
      </c>
      <c r="I306" s="47">
        <v>14</v>
      </c>
      <c r="J306" s="47">
        <v>12444.278</v>
      </c>
      <c r="K306" s="47">
        <v>14</v>
      </c>
      <c r="L306" s="47">
        <v>14.548342704772949</v>
      </c>
      <c r="M306" s="47">
        <v>14</v>
      </c>
    </row>
    <row r="307" spans="2:13">
      <c r="B307" s="47">
        <v>16</v>
      </c>
      <c r="C307" s="47">
        <v>7814.6435000000001</v>
      </c>
      <c r="D307" s="47">
        <v>11987.763000000001</v>
      </c>
      <c r="E307" s="47">
        <v>13.756754875183105</v>
      </c>
      <c r="G307" s="47">
        <v>302</v>
      </c>
      <c r="H307" s="47">
        <v>8094.0334999999995</v>
      </c>
      <c r="I307" s="47">
        <v>16</v>
      </c>
      <c r="J307" s="47">
        <v>12463.029</v>
      </c>
      <c r="K307" s="47">
        <v>20</v>
      </c>
      <c r="L307" s="47">
        <v>14.579719543457031</v>
      </c>
      <c r="M307" s="47">
        <v>14</v>
      </c>
    </row>
    <row r="308" spans="2:13">
      <c r="B308" s="47">
        <v>16</v>
      </c>
      <c r="C308" s="47">
        <v>8234.5275000000001</v>
      </c>
      <c r="D308" s="47">
        <v>12433.504000000001</v>
      </c>
      <c r="E308" s="47">
        <v>13.685076713562012</v>
      </c>
      <c r="G308" s="47">
        <v>303</v>
      </c>
      <c r="H308" s="47">
        <v>8097.8215</v>
      </c>
      <c r="I308" s="47">
        <v>14</v>
      </c>
      <c r="J308" s="47">
        <v>12466.427</v>
      </c>
      <c r="K308" s="47">
        <v>16</v>
      </c>
      <c r="L308" s="47">
        <v>14.654423713684082</v>
      </c>
      <c r="M308" s="47">
        <v>14</v>
      </c>
    </row>
    <row r="309" spans="2:13">
      <c r="B309" s="47">
        <v>16</v>
      </c>
      <c r="C309" s="47">
        <v>8921.7090000000007</v>
      </c>
      <c r="D309" s="47">
        <v>12233.844999999999</v>
      </c>
      <c r="E309" s="47">
        <v>14.117085456848145</v>
      </c>
      <c r="G309" s="47">
        <v>304</v>
      </c>
      <c r="H309" s="47">
        <v>8107.5320000000002</v>
      </c>
      <c r="I309" s="47">
        <v>16</v>
      </c>
      <c r="J309" s="47">
        <v>12466.87</v>
      </c>
      <c r="K309" s="47">
        <v>18</v>
      </c>
      <c r="L309" s="47">
        <v>14.664799690246582</v>
      </c>
      <c r="M309" s="47">
        <v>14</v>
      </c>
    </row>
    <row r="310" spans="2:13">
      <c r="B310" s="47">
        <v>16</v>
      </c>
      <c r="C310" s="47">
        <v>8343.5419999999995</v>
      </c>
      <c r="D310" s="47">
        <v>12547.949000000001</v>
      </c>
      <c r="E310" s="47">
        <v>14.081181526184082</v>
      </c>
      <c r="G310" s="47">
        <v>305</v>
      </c>
      <c r="H310" s="47">
        <v>8110.0055000000002</v>
      </c>
      <c r="I310" s="47">
        <v>12</v>
      </c>
      <c r="J310" s="47">
        <v>12472.198</v>
      </c>
      <c r="K310" s="47">
        <v>16</v>
      </c>
      <c r="L310" s="47">
        <v>14.67646312713623</v>
      </c>
      <c r="M310" s="47">
        <v>14</v>
      </c>
    </row>
    <row r="311" spans="2:13">
      <c r="B311" s="47">
        <v>16</v>
      </c>
      <c r="C311" s="47">
        <v>7963.4</v>
      </c>
      <c r="D311" s="47">
        <v>11497.657999999999</v>
      </c>
      <c r="E311" s="47">
        <v>13.641864776611328</v>
      </c>
      <c r="G311" s="47">
        <v>306</v>
      </c>
      <c r="H311" s="47">
        <v>8113.4250000000002</v>
      </c>
      <c r="I311" s="47">
        <v>16</v>
      </c>
      <c r="J311" s="47">
        <v>12477.911</v>
      </c>
      <c r="K311" s="47">
        <v>16</v>
      </c>
      <c r="L311" s="47">
        <v>14.677615165710449</v>
      </c>
      <c r="M311" s="47">
        <v>6</v>
      </c>
    </row>
    <row r="312" spans="2:13">
      <c r="B312" s="47">
        <v>16</v>
      </c>
      <c r="C312" s="47">
        <v>9029.0239999999994</v>
      </c>
      <c r="D312" s="47">
        <v>12176.922</v>
      </c>
      <c r="E312" s="47">
        <v>14.112170219421387</v>
      </c>
      <c r="G312" s="47">
        <v>307</v>
      </c>
      <c r="H312" s="47">
        <v>8115.2455</v>
      </c>
      <c r="I312" s="47">
        <v>18</v>
      </c>
      <c r="J312" s="47">
        <v>12489.96</v>
      </c>
      <c r="K312" s="47">
        <v>16</v>
      </c>
      <c r="L312" s="47">
        <v>14.704850196838379</v>
      </c>
      <c r="M312" s="47">
        <v>14</v>
      </c>
    </row>
    <row r="313" spans="2:13">
      <c r="B313" s="47">
        <v>16</v>
      </c>
      <c r="C313" s="47">
        <v>8094.0334999999995</v>
      </c>
      <c r="D313" s="47">
        <v>11387.923000000001</v>
      </c>
      <c r="E313" s="47">
        <v>13.571276664733887</v>
      </c>
      <c r="G313" s="47">
        <v>308</v>
      </c>
      <c r="H313" s="47">
        <v>8115.5410000000002</v>
      </c>
      <c r="I313" s="47">
        <v>12</v>
      </c>
      <c r="J313" s="47">
        <v>12504.101000000001</v>
      </c>
      <c r="K313" s="47">
        <v>18</v>
      </c>
      <c r="L313" s="47">
        <v>14.706531524658203</v>
      </c>
      <c r="M313" s="47">
        <v>6</v>
      </c>
    </row>
    <row r="314" spans="2:13">
      <c r="B314" s="47">
        <v>16</v>
      </c>
      <c r="C314" s="47">
        <v>8401.1010000000006</v>
      </c>
      <c r="D314" s="47">
        <v>11991.040999999999</v>
      </c>
      <c r="E314" s="47">
        <v>13.920162200927734</v>
      </c>
      <c r="G314" s="47">
        <v>309</v>
      </c>
      <c r="H314" s="47">
        <v>8117.1030000000001</v>
      </c>
      <c r="I314" s="47">
        <v>14</v>
      </c>
      <c r="J314" s="47">
        <v>12508.331</v>
      </c>
      <c r="K314" s="47">
        <v>18</v>
      </c>
      <c r="L314" s="47">
        <v>14.735055923461914</v>
      </c>
      <c r="M314" s="47">
        <v>6</v>
      </c>
    </row>
    <row r="315" spans="2:13">
      <c r="B315" s="47">
        <v>16</v>
      </c>
      <c r="C315" s="47">
        <v>8398.2510000000002</v>
      </c>
      <c r="D315" s="47">
        <v>12081.634</v>
      </c>
      <c r="E315" s="47">
        <v>14.481236457824707</v>
      </c>
      <c r="G315" s="47">
        <v>310</v>
      </c>
      <c r="H315" s="47">
        <v>8117.3890000000001</v>
      </c>
      <c r="I315" s="47">
        <v>18</v>
      </c>
      <c r="J315" s="47">
        <v>12509.498</v>
      </c>
      <c r="K315" s="47">
        <v>14</v>
      </c>
      <c r="L315" s="47">
        <v>14.755152702331543</v>
      </c>
      <c r="M315" s="47">
        <v>6</v>
      </c>
    </row>
    <row r="316" spans="2:13">
      <c r="B316" s="47">
        <v>16</v>
      </c>
      <c r="C316" s="47">
        <v>8090.9080000000004</v>
      </c>
      <c r="D316" s="47">
        <v>12207.674000000001</v>
      </c>
      <c r="E316" s="47">
        <v>13.994297981262207</v>
      </c>
      <c r="G316" s="47">
        <v>311</v>
      </c>
      <c r="H316" s="47">
        <v>8118.8275000000003</v>
      </c>
      <c r="I316" s="47">
        <v>18</v>
      </c>
      <c r="J316" s="47">
        <v>12520.357</v>
      </c>
      <c r="K316" s="47">
        <v>12</v>
      </c>
      <c r="L316" s="47">
        <v>14.755260467529297</v>
      </c>
      <c r="M316" s="47">
        <v>14</v>
      </c>
    </row>
    <row r="317" spans="2:13">
      <c r="B317" s="47">
        <v>16</v>
      </c>
      <c r="C317" s="47">
        <v>8850.2890000000007</v>
      </c>
      <c r="D317" s="47">
        <v>11245.949000000001</v>
      </c>
      <c r="E317" s="47">
        <v>12.945170402526855</v>
      </c>
      <c r="G317" s="47">
        <v>312</v>
      </c>
      <c r="H317" s="47">
        <v>8120.4414999999999</v>
      </c>
      <c r="I317" s="47">
        <v>14</v>
      </c>
      <c r="J317" s="47">
        <v>12532.154</v>
      </c>
      <c r="K317" s="47">
        <v>14</v>
      </c>
      <c r="L317" s="47">
        <v>14.79188060760498</v>
      </c>
      <c r="M317" s="47">
        <v>14</v>
      </c>
    </row>
    <row r="318" spans="2:13">
      <c r="B318" s="47">
        <v>16</v>
      </c>
      <c r="C318" s="47">
        <v>8841.2720000000008</v>
      </c>
      <c r="D318" s="47">
        <v>12390.43</v>
      </c>
      <c r="E318" s="47">
        <v>13.845535278320313</v>
      </c>
      <c r="G318" s="47">
        <v>313</v>
      </c>
      <c r="H318" s="47">
        <v>8127.683</v>
      </c>
      <c r="I318" s="47">
        <v>14</v>
      </c>
      <c r="J318" s="47">
        <v>12536.587</v>
      </c>
      <c r="K318" s="47">
        <v>14</v>
      </c>
      <c r="L318" s="47">
        <v>14.817777633666992</v>
      </c>
      <c r="M318" s="47">
        <v>14</v>
      </c>
    </row>
    <row r="319" spans="2:13">
      <c r="B319" s="47">
        <v>16</v>
      </c>
      <c r="C319" s="47">
        <v>7876.6355000000003</v>
      </c>
      <c r="D319" s="47">
        <v>12597.227999999999</v>
      </c>
      <c r="E319" s="47">
        <v>13.822353363037109</v>
      </c>
      <c r="G319" s="47">
        <v>314</v>
      </c>
      <c r="H319" s="47">
        <v>8133.8924999999999</v>
      </c>
      <c r="I319" s="47">
        <v>18</v>
      </c>
      <c r="J319" s="47">
        <v>12536.77</v>
      </c>
      <c r="K319" s="47">
        <v>8</v>
      </c>
      <c r="L319" s="47">
        <v>14.826322555541992</v>
      </c>
      <c r="M319" s="47">
        <v>14</v>
      </c>
    </row>
    <row r="320" spans="2:13">
      <c r="B320" s="47">
        <v>16</v>
      </c>
      <c r="C320" s="47">
        <v>8655.5169999999998</v>
      </c>
      <c r="D320" s="47">
        <v>12003.755999999999</v>
      </c>
      <c r="E320" s="47">
        <v>13.528200149536133</v>
      </c>
      <c r="G320" s="47">
        <v>315</v>
      </c>
      <c r="H320" s="47">
        <v>8142.4930000000004</v>
      </c>
      <c r="I320" s="47">
        <v>16</v>
      </c>
      <c r="J320" s="47">
        <v>12547.949000000001</v>
      </c>
      <c r="K320" s="47">
        <v>16</v>
      </c>
      <c r="L320" s="47">
        <v>14.843902587890625</v>
      </c>
      <c r="M320" s="47">
        <v>14</v>
      </c>
    </row>
    <row r="321" spans="2:13">
      <c r="B321" s="47">
        <v>16</v>
      </c>
      <c r="C321" s="47">
        <v>8433.4279999999999</v>
      </c>
      <c r="D321" s="47">
        <v>12358.195</v>
      </c>
      <c r="E321" s="47">
        <v>13.402802467346191</v>
      </c>
      <c r="G321" s="47">
        <v>316</v>
      </c>
      <c r="H321" s="47">
        <v>8143.1525000000001</v>
      </c>
      <c r="I321" s="47">
        <v>14</v>
      </c>
      <c r="J321" s="47">
        <v>12557.68</v>
      </c>
      <c r="K321" s="47">
        <v>14</v>
      </c>
      <c r="L321" s="47">
        <v>14.844147682189941</v>
      </c>
      <c r="M321" s="47">
        <v>14</v>
      </c>
    </row>
    <row r="322" spans="2:13">
      <c r="B322" s="47">
        <v>16</v>
      </c>
      <c r="C322" s="47">
        <v>8729.9629999999997</v>
      </c>
      <c r="D322" s="47">
        <v>11954.554</v>
      </c>
      <c r="E322" s="47">
        <v>13.013371467590332</v>
      </c>
      <c r="G322" s="47">
        <v>317</v>
      </c>
      <c r="H322" s="47">
        <v>8149.65</v>
      </c>
      <c r="I322" s="47">
        <v>18</v>
      </c>
      <c r="J322" s="47">
        <v>12558.018</v>
      </c>
      <c r="K322" s="47">
        <v>18</v>
      </c>
      <c r="L322" s="47">
        <v>14.844813346862793</v>
      </c>
      <c r="M322" s="47">
        <v>6</v>
      </c>
    </row>
    <row r="323" spans="2:13">
      <c r="B323" s="47">
        <v>16</v>
      </c>
      <c r="C323" s="47">
        <v>8236.2564999999995</v>
      </c>
      <c r="D323" s="47">
        <v>12574.141</v>
      </c>
      <c r="E323" s="47">
        <v>14.440387725830078</v>
      </c>
      <c r="G323" s="47">
        <v>318</v>
      </c>
      <c r="H323" s="47">
        <v>8154.1944999999996</v>
      </c>
      <c r="I323" s="47">
        <v>16</v>
      </c>
      <c r="J323" s="47">
        <v>12574.141</v>
      </c>
      <c r="K323" s="47">
        <v>16</v>
      </c>
      <c r="L323" s="47">
        <v>14.90273380279541</v>
      </c>
      <c r="M323" s="47">
        <v>14</v>
      </c>
    </row>
    <row r="324" spans="2:13">
      <c r="B324" s="47">
        <v>16</v>
      </c>
      <c r="C324" s="47">
        <v>8839.7549999999992</v>
      </c>
      <c r="D324" s="47">
        <v>11275.379000000001</v>
      </c>
      <c r="E324" s="47">
        <v>11.974716186523438</v>
      </c>
      <c r="G324" s="47">
        <v>319</v>
      </c>
      <c r="H324" s="47">
        <v>8156.42</v>
      </c>
      <c r="I324" s="47">
        <v>16</v>
      </c>
      <c r="J324" s="47">
        <v>12576.591</v>
      </c>
      <c r="K324" s="47">
        <v>14</v>
      </c>
      <c r="L324" s="47">
        <v>14.913819313049316</v>
      </c>
      <c r="M324" s="47">
        <v>6</v>
      </c>
    </row>
    <row r="325" spans="2:13">
      <c r="B325" s="47">
        <v>16</v>
      </c>
      <c r="C325" s="47">
        <v>8591.4539999999997</v>
      </c>
      <c r="D325" s="47">
        <v>12782.067999999999</v>
      </c>
      <c r="E325" s="47">
        <v>14.521425247192383</v>
      </c>
      <c r="G325" s="47">
        <v>320</v>
      </c>
      <c r="H325" s="47">
        <v>8158.3474999999999</v>
      </c>
      <c r="I325" s="47">
        <v>14</v>
      </c>
      <c r="J325" s="47">
        <v>12586.362999999999</v>
      </c>
      <c r="K325" s="47">
        <v>12</v>
      </c>
      <c r="L325" s="47">
        <v>14.946480751037598</v>
      </c>
      <c r="M325" s="47">
        <v>14</v>
      </c>
    </row>
    <row r="326" spans="2:13">
      <c r="B326" s="47">
        <v>16</v>
      </c>
      <c r="C326" s="47">
        <v>8389.5720000000001</v>
      </c>
      <c r="D326" s="47">
        <v>12805.828</v>
      </c>
      <c r="E326" s="47">
        <v>14.080909729003906</v>
      </c>
      <c r="G326" s="47">
        <v>321</v>
      </c>
      <c r="H326" s="47">
        <v>8163.1764999999996</v>
      </c>
      <c r="I326" s="47">
        <v>18</v>
      </c>
      <c r="J326" s="47">
        <v>12588.785</v>
      </c>
      <c r="K326" s="47">
        <v>14</v>
      </c>
      <c r="L326" s="47">
        <v>15.011262893676758</v>
      </c>
      <c r="M326" s="47">
        <v>14</v>
      </c>
    </row>
    <row r="327" spans="2:13">
      <c r="B327" s="47">
        <v>16</v>
      </c>
      <c r="C327" s="47">
        <v>8792.875</v>
      </c>
      <c r="D327" s="47">
        <v>12466.427</v>
      </c>
      <c r="E327" s="47">
        <v>13.08958911895752</v>
      </c>
      <c r="G327" s="47">
        <v>322</v>
      </c>
      <c r="H327" s="47">
        <v>8166.2494999999999</v>
      </c>
      <c r="I327" s="47">
        <v>18</v>
      </c>
      <c r="J327" s="47">
        <v>12597.227999999999</v>
      </c>
      <c r="K327" s="47">
        <v>16</v>
      </c>
      <c r="L327" s="47">
        <v>15.014269828796387</v>
      </c>
      <c r="M327" s="47">
        <v>14</v>
      </c>
    </row>
    <row r="328" spans="2:13">
      <c r="B328" s="47">
        <v>16</v>
      </c>
      <c r="C328" s="47">
        <v>8705.9740000000002</v>
      </c>
      <c r="D328" s="47">
        <v>11740.727999999999</v>
      </c>
      <c r="E328" s="47">
        <v>12.571346282958984</v>
      </c>
      <c r="G328" s="47">
        <v>323</v>
      </c>
      <c r="H328" s="47">
        <v>8167.6205</v>
      </c>
      <c r="I328" s="47">
        <v>14</v>
      </c>
      <c r="J328" s="47">
        <v>12597.404</v>
      </c>
      <c r="K328" s="47">
        <v>14</v>
      </c>
      <c r="L328" s="47">
        <v>15.036250114440918</v>
      </c>
      <c r="M328" s="47">
        <v>14</v>
      </c>
    </row>
    <row r="329" spans="2:13">
      <c r="B329" s="47">
        <v>16</v>
      </c>
      <c r="C329" s="47">
        <v>8450.4580000000005</v>
      </c>
      <c r="D329" s="47">
        <v>12035.15</v>
      </c>
      <c r="E329" s="47">
        <v>14.129061698913574</v>
      </c>
      <c r="G329" s="47">
        <v>324</v>
      </c>
      <c r="H329" s="47">
        <v>8170.0254999999997</v>
      </c>
      <c r="I329" s="47">
        <v>20</v>
      </c>
      <c r="J329" s="47">
        <v>12610.069</v>
      </c>
      <c r="K329" s="47">
        <v>14</v>
      </c>
      <c r="L329" s="47">
        <v>15.088603019714355</v>
      </c>
      <c r="M329" s="47">
        <v>6</v>
      </c>
    </row>
    <row r="330" spans="2:13">
      <c r="B330" s="47">
        <v>16</v>
      </c>
      <c r="C330" s="47">
        <v>8474.19</v>
      </c>
      <c r="D330" s="47">
        <v>11761.902</v>
      </c>
      <c r="E330" s="47">
        <v>13.357977867126465</v>
      </c>
      <c r="G330" s="47">
        <v>325</v>
      </c>
      <c r="H330" s="47">
        <v>8170.2595000000001</v>
      </c>
      <c r="I330" s="47">
        <v>20</v>
      </c>
      <c r="J330" s="47">
        <v>12629.735000000001</v>
      </c>
      <c r="K330" s="47">
        <v>14</v>
      </c>
      <c r="L330" s="47">
        <v>15.172671318054199</v>
      </c>
      <c r="M330" s="47">
        <v>14</v>
      </c>
    </row>
    <row r="331" spans="2:13">
      <c r="B331" s="47">
        <v>16</v>
      </c>
      <c r="C331" s="47">
        <v>8001.7690000000002</v>
      </c>
      <c r="D331" s="47">
        <v>12340.678</v>
      </c>
      <c r="E331" s="47">
        <v>14.398818969726563</v>
      </c>
      <c r="G331" s="47">
        <v>326</v>
      </c>
      <c r="H331" s="47">
        <v>8172.5915000000005</v>
      </c>
      <c r="I331" s="47">
        <v>14</v>
      </c>
      <c r="J331" s="47">
        <v>12632.486000000001</v>
      </c>
      <c r="K331" s="47">
        <v>8</v>
      </c>
      <c r="L331" s="47">
        <v>15.182847023010254</v>
      </c>
      <c r="M331" s="47">
        <v>14</v>
      </c>
    </row>
    <row r="332" spans="2:13">
      <c r="B332" s="47">
        <v>16</v>
      </c>
      <c r="C332" s="47">
        <v>8084.9454999999998</v>
      </c>
      <c r="D332" s="47">
        <v>11064.25</v>
      </c>
      <c r="E332" s="47">
        <v>12.548006057739258</v>
      </c>
      <c r="G332" s="47">
        <v>327</v>
      </c>
      <c r="H332" s="47">
        <v>8173.1925000000001</v>
      </c>
      <c r="I332" s="47">
        <v>14</v>
      </c>
      <c r="J332" s="47">
        <v>12644.716</v>
      </c>
      <c r="K332" s="47">
        <v>14</v>
      </c>
      <c r="L332" s="47">
        <v>15.204999923706055</v>
      </c>
      <c r="M332" s="47">
        <v>14</v>
      </c>
    </row>
    <row r="333" spans="2:13">
      <c r="B333" s="47">
        <v>16</v>
      </c>
      <c r="C333" s="47">
        <v>8057.5020000000004</v>
      </c>
      <c r="D333" s="47">
        <v>11682.271000000001</v>
      </c>
      <c r="E333" s="47">
        <v>12.583495140075684</v>
      </c>
      <c r="G333" s="47">
        <v>328</v>
      </c>
      <c r="H333" s="47">
        <v>8173.6379999999999</v>
      </c>
      <c r="I333" s="47">
        <v>16</v>
      </c>
      <c r="J333" s="47">
        <v>12663.361999999999</v>
      </c>
      <c r="K333" s="47">
        <v>14</v>
      </c>
      <c r="L333" s="47">
        <v>15.223983764648438</v>
      </c>
      <c r="M333" s="47">
        <v>14</v>
      </c>
    </row>
    <row r="334" spans="2:13">
      <c r="B334" s="47">
        <v>16</v>
      </c>
      <c r="C334" s="47">
        <v>8451.7690000000002</v>
      </c>
      <c r="D334" s="47">
        <v>12825.847</v>
      </c>
      <c r="E334" s="47">
        <v>14.472825050354004</v>
      </c>
      <c r="G334" s="47">
        <v>329</v>
      </c>
      <c r="H334" s="47">
        <v>8174.5290000000005</v>
      </c>
      <c r="I334" s="47">
        <v>14</v>
      </c>
      <c r="J334" s="47">
        <v>12670.269</v>
      </c>
      <c r="K334" s="47">
        <v>14</v>
      </c>
      <c r="L334" s="47">
        <v>15.285244941711426</v>
      </c>
      <c r="M334" s="47">
        <v>14</v>
      </c>
    </row>
    <row r="335" spans="2:13">
      <c r="B335" s="47">
        <v>16</v>
      </c>
      <c r="C335" s="47">
        <v>8814.3320000000003</v>
      </c>
      <c r="D335" s="47">
        <v>12273.257</v>
      </c>
      <c r="E335" s="47">
        <v>12.898942947387695</v>
      </c>
      <c r="G335" s="47">
        <v>330</v>
      </c>
      <c r="H335" s="47">
        <v>8175.2664999999997</v>
      </c>
      <c r="I335" s="47">
        <v>20</v>
      </c>
      <c r="J335" s="47">
        <v>12681.498</v>
      </c>
      <c r="K335" s="47">
        <v>14</v>
      </c>
      <c r="L335" s="47">
        <v>15.335382461547852</v>
      </c>
      <c r="M335" s="47">
        <v>14</v>
      </c>
    </row>
    <row r="336" spans="2:13">
      <c r="B336" s="47">
        <v>16</v>
      </c>
      <c r="C336" s="47">
        <v>8156.42</v>
      </c>
      <c r="D336" s="47">
        <v>12285.712</v>
      </c>
      <c r="E336" s="47">
        <v>13.019942283630371</v>
      </c>
      <c r="G336" s="47">
        <v>331</v>
      </c>
      <c r="H336" s="47">
        <v>8182.5805</v>
      </c>
      <c r="I336" s="47">
        <v>18</v>
      </c>
      <c r="J336" s="47">
        <v>12699.089</v>
      </c>
      <c r="K336" s="47">
        <v>14</v>
      </c>
      <c r="L336" s="47">
        <v>15.359257698059082</v>
      </c>
      <c r="M336" s="47">
        <v>14</v>
      </c>
    </row>
    <row r="337" spans="2:13">
      <c r="B337" s="47">
        <v>16</v>
      </c>
      <c r="C337" s="47">
        <v>7756.9759999999997</v>
      </c>
      <c r="D337" s="47">
        <v>11601.86</v>
      </c>
      <c r="E337" s="47">
        <v>13.279438018798828</v>
      </c>
      <c r="G337" s="47">
        <v>332</v>
      </c>
      <c r="H337" s="47">
        <v>8187.067</v>
      </c>
      <c r="I337" s="47">
        <v>20</v>
      </c>
      <c r="J337" s="47">
        <v>12703.974</v>
      </c>
      <c r="K337" s="47">
        <v>14</v>
      </c>
      <c r="L337" s="47">
        <v>15.371742248535156</v>
      </c>
      <c r="M337" s="47">
        <v>14</v>
      </c>
    </row>
    <row r="338" spans="2:13">
      <c r="B338" s="47">
        <v>16</v>
      </c>
      <c r="C338" s="47">
        <v>7983.9319999999998</v>
      </c>
      <c r="D338" s="47">
        <v>12162.334999999999</v>
      </c>
      <c r="E338" s="47">
        <v>14.540904998779297</v>
      </c>
      <c r="G338" s="47">
        <v>333</v>
      </c>
      <c r="H338" s="47">
        <v>8187.8360000000002</v>
      </c>
      <c r="I338" s="47">
        <v>16</v>
      </c>
      <c r="J338" s="47">
        <v>12724.106</v>
      </c>
      <c r="K338" s="47">
        <v>20</v>
      </c>
      <c r="L338" s="47">
        <v>15.382610321044922</v>
      </c>
      <c r="M338" s="47">
        <v>14</v>
      </c>
    </row>
    <row r="339" spans="2:13">
      <c r="B339" s="47">
        <v>16</v>
      </c>
      <c r="C339" s="47">
        <v>8349.7075000000004</v>
      </c>
      <c r="D339" s="47">
        <v>12057.456</v>
      </c>
      <c r="E339" s="47">
        <v>13.251519203186035</v>
      </c>
      <c r="G339" s="47">
        <v>334</v>
      </c>
      <c r="H339" s="47">
        <v>8190.4229999999998</v>
      </c>
      <c r="I339" s="47">
        <v>16</v>
      </c>
      <c r="J339" s="47">
        <v>12742.337</v>
      </c>
      <c r="K339" s="47">
        <v>18</v>
      </c>
      <c r="L339" s="47">
        <v>15.422443389892578</v>
      </c>
      <c r="M339" s="47">
        <v>14</v>
      </c>
    </row>
    <row r="340" spans="2:13">
      <c r="B340" s="47">
        <v>16</v>
      </c>
      <c r="C340" s="47">
        <v>7922.9859999999999</v>
      </c>
      <c r="D340" s="47">
        <v>11917.583000000001</v>
      </c>
      <c r="E340" s="47">
        <v>13.086817741394043</v>
      </c>
      <c r="G340" s="47">
        <v>335</v>
      </c>
      <c r="H340" s="47">
        <v>8193.3240000000005</v>
      </c>
      <c r="I340" s="47">
        <v>20</v>
      </c>
      <c r="J340" s="47">
        <v>12744.731</v>
      </c>
      <c r="K340" s="47">
        <v>14</v>
      </c>
      <c r="L340" s="47">
        <v>15.437429428100586</v>
      </c>
      <c r="M340" s="47">
        <v>14</v>
      </c>
    </row>
    <row r="341" spans="2:13">
      <c r="B341" s="47">
        <v>16</v>
      </c>
      <c r="C341" s="47">
        <v>7845.7579999999998</v>
      </c>
      <c r="D341" s="47">
        <v>11693.453</v>
      </c>
      <c r="E341" s="47">
        <v>12.953222274780273</v>
      </c>
      <c r="G341" s="47">
        <v>336</v>
      </c>
      <c r="H341" s="47">
        <v>8193.7919999999995</v>
      </c>
      <c r="I341" s="47">
        <v>14</v>
      </c>
      <c r="J341" s="47">
        <v>12748.821</v>
      </c>
      <c r="K341" s="47">
        <v>8</v>
      </c>
      <c r="L341" s="47">
        <v>15.454901695251465</v>
      </c>
      <c r="M341" s="47">
        <v>14</v>
      </c>
    </row>
    <row r="342" spans="2:13">
      <c r="B342" s="47">
        <v>16</v>
      </c>
      <c r="C342" s="47">
        <v>7969.4690000000001</v>
      </c>
      <c r="D342" s="47">
        <v>11938.933999999999</v>
      </c>
      <c r="E342" s="47">
        <v>12.711462020874023</v>
      </c>
      <c r="G342" s="47">
        <v>337</v>
      </c>
      <c r="H342" s="47">
        <v>8195.9680000000008</v>
      </c>
      <c r="I342" s="47">
        <v>16</v>
      </c>
      <c r="J342" s="47">
        <v>12782.067999999999</v>
      </c>
      <c r="K342" s="47">
        <v>16</v>
      </c>
      <c r="L342" s="47">
        <v>15.48316478729248</v>
      </c>
      <c r="M342" s="47">
        <v>14</v>
      </c>
    </row>
    <row r="343" spans="2:13">
      <c r="B343" s="47">
        <v>16</v>
      </c>
      <c r="C343" s="47">
        <v>8334.3824999999997</v>
      </c>
      <c r="D343" s="47">
        <v>11027.460999999999</v>
      </c>
      <c r="E343" s="47">
        <v>11.857151031494141</v>
      </c>
      <c r="G343" s="47">
        <v>338</v>
      </c>
      <c r="H343" s="47">
        <v>8200.8739999999998</v>
      </c>
      <c r="I343" s="47">
        <v>20</v>
      </c>
      <c r="J343" s="47">
        <v>12791.697</v>
      </c>
      <c r="K343" s="47">
        <v>12</v>
      </c>
      <c r="L343" s="47">
        <v>15.506329536437988</v>
      </c>
      <c r="M343" s="47">
        <v>14</v>
      </c>
    </row>
    <row r="344" spans="2:13">
      <c r="B344" s="47">
        <v>16</v>
      </c>
      <c r="C344" s="47">
        <v>7655.68</v>
      </c>
      <c r="D344" s="47">
        <v>11804.915000000001</v>
      </c>
      <c r="E344" s="47">
        <v>14.545557975769043</v>
      </c>
      <c r="G344" s="47">
        <v>339</v>
      </c>
      <c r="H344" s="47">
        <v>8202.2664999999997</v>
      </c>
      <c r="I344" s="47">
        <v>16</v>
      </c>
      <c r="J344" s="47">
        <v>12794.602000000001</v>
      </c>
      <c r="K344" s="47">
        <v>14</v>
      </c>
      <c r="L344" s="47">
        <v>15.602725028991699</v>
      </c>
      <c r="M344" s="47">
        <v>12</v>
      </c>
    </row>
    <row r="345" spans="2:13">
      <c r="B345" s="47">
        <v>16</v>
      </c>
      <c r="C345" s="47">
        <v>8383.8040000000001</v>
      </c>
      <c r="D345" s="47">
        <v>12087.064</v>
      </c>
      <c r="E345" s="47">
        <v>13.754462242126465</v>
      </c>
      <c r="G345" s="47">
        <v>340</v>
      </c>
      <c r="H345" s="47">
        <v>8206.5874999999996</v>
      </c>
      <c r="I345" s="47">
        <v>14</v>
      </c>
      <c r="J345" s="47">
        <v>12805.72</v>
      </c>
      <c r="K345" s="47">
        <v>14</v>
      </c>
      <c r="L345" s="47">
        <v>15.606799125671387</v>
      </c>
      <c r="M345" s="47">
        <v>14</v>
      </c>
    </row>
    <row r="346" spans="2:13">
      <c r="B346" s="47">
        <v>16</v>
      </c>
      <c r="C346" s="47">
        <v>7990.2120000000004</v>
      </c>
      <c r="D346" s="47">
        <v>12418.16</v>
      </c>
      <c r="E346" s="47">
        <v>13.354397773742676</v>
      </c>
      <c r="G346" s="47">
        <v>341</v>
      </c>
      <c r="H346" s="47">
        <v>8207.5244999999995</v>
      </c>
      <c r="I346" s="47">
        <v>16</v>
      </c>
      <c r="J346" s="47">
        <v>12805.828</v>
      </c>
      <c r="K346" s="47">
        <v>16</v>
      </c>
      <c r="L346" s="47">
        <v>15.615663528442383</v>
      </c>
      <c r="M346" s="47">
        <v>14</v>
      </c>
    </row>
    <row r="347" spans="2:13">
      <c r="B347" s="47">
        <v>16</v>
      </c>
      <c r="C347" s="47">
        <v>7961.2614999999996</v>
      </c>
      <c r="D347" s="47">
        <v>12489.96</v>
      </c>
      <c r="E347" s="47">
        <v>14.262596130371094</v>
      </c>
      <c r="G347" s="47">
        <v>342</v>
      </c>
      <c r="H347" s="47">
        <v>8208.2975000000006</v>
      </c>
      <c r="I347" s="47">
        <v>18</v>
      </c>
      <c r="J347" s="47">
        <v>12811.433000000001</v>
      </c>
      <c r="K347" s="47">
        <v>12</v>
      </c>
      <c r="L347" s="47">
        <v>15.619054794311523</v>
      </c>
      <c r="M347" s="47">
        <v>14</v>
      </c>
    </row>
    <row r="348" spans="2:13">
      <c r="B348" s="47">
        <v>16</v>
      </c>
      <c r="C348" s="47">
        <v>8035.2015000000001</v>
      </c>
      <c r="D348" s="47">
        <v>11671.893</v>
      </c>
      <c r="E348" s="47">
        <v>13.293807983398438</v>
      </c>
      <c r="G348" s="47">
        <v>343</v>
      </c>
      <c r="H348" s="47">
        <v>8210.4660000000003</v>
      </c>
      <c r="I348" s="47">
        <v>18</v>
      </c>
      <c r="J348" s="47">
        <v>12815.64</v>
      </c>
      <c r="K348" s="47">
        <v>14</v>
      </c>
      <c r="L348" s="47">
        <v>15.639986991882324</v>
      </c>
      <c r="M348" s="47">
        <v>6</v>
      </c>
    </row>
    <row r="349" spans="2:13">
      <c r="B349" s="47">
        <v>16</v>
      </c>
      <c r="C349" s="47">
        <v>8460.8169999999991</v>
      </c>
      <c r="D349" s="47">
        <v>12171.002</v>
      </c>
      <c r="E349" s="47">
        <v>13.687596321105957</v>
      </c>
      <c r="G349" s="47">
        <v>344</v>
      </c>
      <c r="H349" s="47">
        <v>8214.8690000000006</v>
      </c>
      <c r="I349" s="47">
        <v>14</v>
      </c>
      <c r="J349" s="47">
        <v>12824.475</v>
      </c>
      <c r="K349" s="47">
        <v>8</v>
      </c>
      <c r="L349" s="47">
        <v>15.718418121337891</v>
      </c>
      <c r="M349" s="47">
        <v>14</v>
      </c>
    </row>
    <row r="350" spans="2:13">
      <c r="B350" s="47">
        <v>16</v>
      </c>
      <c r="C350" s="47">
        <v>8142.4930000000004</v>
      </c>
      <c r="D350" s="47">
        <v>11597.001</v>
      </c>
      <c r="E350" s="47">
        <v>13.218448638916016</v>
      </c>
      <c r="G350" s="47">
        <v>345</v>
      </c>
      <c r="H350" s="47">
        <v>8217.518</v>
      </c>
      <c r="I350" s="47">
        <v>20</v>
      </c>
      <c r="J350" s="47">
        <v>12824.483</v>
      </c>
      <c r="K350" s="47">
        <v>14</v>
      </c>
      <c r="L350" s="47">
        <v>15.758711814880371</v>
      </c>
      <c r="M350" s="47">
        <v>14</v>
      </c>
    </row>
    <row r="351" spans="2:13">
      <c r="B351" s="47">
        <v>16</v>
      </c>
      <c r="C351" s="47">
        <v>8053.9144999999999</v>
      </c>
      <c r="D351" s="47">
        <v>11360.764999999999</v>
      </c>
      <c r="E351" s="47">
        <v>12.538472175598145</v>
      </c>
      <c r="G351" s="47">
        <v>346</v>
      </c>
      <c r="H351" s="47">
        <v>8217.8549999999996</v>
      </c>
      <c r="I351" s="47">
        <v>14</v>
      </c>
      <c r="J351" s="47">
        <v>12825.847</v>
      </c>
      <c r="K351" s="47">
        <v>16</v>
      </c>
      <c r="L351" s="47">
        <v>15.766495704650879</v>
      </c>
      <c r="M351" s="47">
        <v>18</v>
      </c>
    </row>
    <row r="352" spans="2:13">
      <c r="B352" s="47">
        <v>16</v>
      </c>
      <c r="C352" s="47">
        <v>8388.0895</v>
      </c>
      <c r="D352" s="47">
        <v>12250.027</v>
      </c>
      <c r="E352" s="47">
        <v>12.03697681427002</v>
      </c>
      <c r="G352" s="47">
        <v>347</v>
      </c>
      <c r="H352" s="47">
        <v>8218.1830000000009</v>
      </c>
      <c r="I352" s="47">
        <v>12</v>
      </c>
      <c r="J352" s="47">
        <v>12829.852999999999</v>
      </c>
      <c r="K352" s="47">
        <v>18</v>
      </c>
      <c r="L352" s="47">
        <v>15.788023948669434</v>
      </c>
      <c r="M352" s="47">
        <v>6</v>
      </c>
    </row>
    <row r="353" spans="2:13">
      <c r="B353" s="47">
        <v>16</v>
      </c>
      <c r="C353" s="47">
        <v>7902.8410000000003</v>
      </c>
      <c r="D353" s="47">
        <v>12982.066999999999</v>
      </c>
      <c r="E353" s="47">
        <v>14.329156875610352</v>
      </c>
      <c r="G353" s="47">
        <v>348</v>
      </c>
      <c r="H353" s="47">
        <v>8219.9475000000002</v>
      </c>
      <c r="I353" s="47">
        <v>18</v>
      </c>
      <c r="J353" s="47">
        <v>12830.767</v>
      </c>
      <c r="K353" s="47">
        <v>14</v>
      </c>
      <c r="L353" s="47">
        <v>15.805816650390625</v>
      </c>
      <c r="M353" s="47">
        <v>6</v>
      </c>
    </row>
    <row r="354" spans="2:13">
      <c r="B354" s="47">
        <v>16</v>
      </c>
      <c r="C354" s="47">
        <v>8202.2664999999997</v>
      </c>
      <c r="D354" s="47">
        <v>11690.396000000001</v>
      </c>
      <c r="E354" s="47">
        <v>13.510305404663086</v>
      </c>
      <c r="G354" s="47">
        <v>349</v>
      </c>
      <c r="H354" s="47">
        <v>8221.1049999999996</v>
      </c>
      <c r="I354" s="47">
        <v>16</v>
      </c>
      <c r="J354" s="47">
        <v>12834.36</v>
      </c>
      <c r="K354" s="47">
        <v>18</v>
      </c>
      <c r="L354" s="47">
        <v>15.810877799987793</v>
      </c>
      <c r="M354" s="47">
        <v>14</v>
      </c>
    </row>
    <row r="355" spans="2:13">
      <c r="B355" s="47">
        <v>16</v>
      </c>
      <c r="C355" s="47">
        <v>7860.1459999999997</v>
      </c>
      <c r="D355" s="47">
        <v>11164.696</v>
      </c>
      <c r="E355" s="47">
        <v>12.711570739746094</v>
      </c>
      <c r="G355" s="47">
        <v>350</v>
      </c>
      <c r="H355" s="47">
        <v>8221.5069999999996</v>
      </c>
      <c r="I355" s="47">
        <v>18</v>
      </c>
      <c r="J355" s="47">
        <v>12835.061</v>
      </c>
      <c r="K355" s="47">
        <v>14</v>
      </c>
      <c r="L355" s="47">
        <v>15.810946464538574</v>
      </c>
      <c r="M355" s="47">
        <v>12</v>
      </c>
    </row>
    <row r="356" spans="2:13">
      <c r="B356" s="47">
        <v>16</v>
      </c>
      <c r="C356" s="47">
        <v>8049.7780000000002</v>
      </c>
      <c r="D356" s="47">
        <v>11507.633</v>
      </c>
      <c r="E356" s="47">
        <v>12.876514434814453</v>
      </c>
      <c r="G356" s="47">
        <v>351</v>
      </c>
      <c r="H356" s="47">
        <v>8224.3700000000008</v>
      </c>
      <c r="I356" s="47">
        <v>10</v>
      </c>
      <c r="J356" s="47">
        <v>12877.504999999999</v>
      </c>
      <c r="K356" s="47">
        <v>8</v>
      </c>
      <c r="L356" s="47">
        <v>15.849233627319336</v>
      </c>
      <c r="M356" s="47">
        <v>6</v>
      </c>
    </row>
    <row r="357" spans="2:13">
      <c r="B357" s="47">
        <v>16</v>
      </c>
      <c r="C357" s="47">
        <v>8756.7199999999993</v>
      </c>
      <c r="D357" s="47">
        <v>12267.537</v>
      </c>
      <c r="E357" s="47">
        <v>12.775029182434082</v>
      </c>
      <c r="G357" s="47">
        <v>352</v>
      </c>
      <c r="H357" s="47">
        <v>8226.6384999999991</v>
      </c>
      <c r="I357" s="47">
        <v>18</v>
      </c>
      <c r="J357" s="47">
        <v>12888.201999999999</v>
      </c>
      <c r="K357" s="47">
        <v>14</v>
      </c>
      <c r="L357" s="47">
        <v>15.855997085571289</v>
      </c>
      <c r="M357" s="47">
        <v>14</v>
      </c>
    </row>
    <row r="358" spans="2:13">
      <c r="B358" s="47">
        <v>16</v>
      </c>
      <c r="C358" s="47">
        <v>7870.05</v>
      </c>
      <c r="D358" s="47">
        <v>12477.911</v>
      </c>
      <c r="E358" s="47">
        <v>13.572399139404297</v>
      </c>
      <c r="G358" s="47">
        <v>353</v>
      </c>
      <c r="H358" s="47">
        <v>8228.8310000000001</v>
      </c>
      <c r="I358" s="47">
        <v>18</v>
      </c>
      <c r="J358" s="47">
        <v>12898.733</v>
      </c>
      <c r="K358" s="47">
        <v>16</v>
      </c>
      <c r="L358" s="47">
        <v>15.875725746154785</v>
      </c>
      <c r="M358" s="47">
        <v>14</v>
      </c>
    </row>
    <row r="359" spans="2:13">
      <c r="B359" s="47">
        <v>16</v>
      </c>
      <c r="C359" s="47">
        <v>7660.6019999999999</v>
      </c>
      <c r="D359" s="47">
        <v>11371.81</v>
      </c>
      <c r="E359" s="47">
        <v>12.912376403808594</v>
      </c>
      <c r="G359" s="47">
        <v>354</v>
      </c>
      <c r="H359" s="47">
        <v>8234.5275000000001</v>
      </c>
      <c r="I359" s="47">
        <v>16</v>
      </c>
      <c r="J359" s="47">
        <v>12904.607</v>
      </c>
      <c r="K359" s="47">
        <v>8</v>
      </c>
      <c r="L359" s="47">
        <v>15.875893592834473</v>
      </c>
      <c r="M359" s="47">
        <v>6</v>
      </c>
    </row>
    <row r="360" spans="2:13">
      <c r="B360" s="47">
        <v>16</v>
      </c>
      <c r="C360" s="47">
        <v>8207.5244999999995</v>
      </c>
      <c r="D360" s="47">
        <v>11691.415000000001</v>
      </c>
      <c r="E360" s="47">
        <v>13.397314071655273</v>
      </c>
      <c r="G360" s="47">
        <v>355</v>
      </c>
      <c r="H360" s="47">
        <v>8236.2564999999995</v>
      </c>
      <c r="I360" s="47">
        <v>16</v>
      </c>
      <c r="J360" s="47">
        <v>12920.16</v>
      </c>
      <c r="K360" s="47">
        <v>12</v>
      </c>
      <c r="L360" s="47">
        <v>15.899559020996094</v>
      </c>
      <c r="M360" s="47">
        <v>6</v>
      </c>
    </row>
    <row r="361" spans="2:13">
      <c r="B361" s="47">
        <v>16</v>
      </c>
      <c r="C361" s="47">
        <v>8240.5195000000003</v>
      </c>
      <c r="D361" s="47">
        <v>11454.251</v>
      </c>
      <c r="E361" s="47">
        <v>13.032739639282227</v>
      </c>
      <c r="G361" s="47">
        <v>356</v>
      </c>
      <c r="H361" s="47">
        <v>8238.0385000000006</v>
      </c>
      <c r="I361" s="47">
        <v>18</v>
      </c>
      <c r="J361" s="47">
        <v>12934.394</v>
      </c>
      <c r="K361" s="47">
        <v>14</v>
      </c>
      <c r="L361" s="47">
        <v>15.91607666015625</v>
      </c>
      <c r="M361" s="47">
        <v>12</v>
      </c>
    </row>
    <row r="362" spans="2:13">
      <c r="B362" s="47">
        <v>16</v>
      </c>
      <c r="C362" s="47">
        <v>7599.8755000000001</v>
      </c>
      <c r="D362" s="47">
        <v>11862.083000000001</v>
      </c>
      <c r="E362" s="47">
        <v>11.585018157958984</v>
      </c>
      <c r="G362" s="47">
        <v>357</v>
      </c>
      <c r="H362" s="47">
        <v>8238.5650000000005</v>
      </c>
      <c r="I362" s="47">
        <v>16</v>
      </c>
      <c r="J362" s="47">
        <v>12963.663</v>
      </c>
      <c r="K362" s="47">
        <v>8</v>
      </c>
      <c r="L362" s="47">
        <v>15.966521263122559</v>
      </c>
      <c r="M362" s="47">
        <v>12</v>
      </c>
    </row>
    <row r="363" spans="2:13">
      <c r="B363" s="47">
        <v>16</v>
      </c>
      <c r="C363" s="47">
        <v>7817.4705000000004</v>
      </c>
      <c r="D363" s="47">
        <v>11855.197</v>
      </c>
      <c r="E363" s="47">
        <v>14.152168273925781</v>
      </c>
      <c r="G363" s="47">
        <v>358</v>
      </c>
      <c r="H363" s="47">
        <v>8240.5195000000003</v>
      </c>
      <c r="I363" s="47">
        <v>16</v>
      </c>
      <c r="J363" s="47">
        <v>12982.066999999999</v>
      </c>
      <c r="K363" s="47">
        <v>16</v>
      </c>
      <c r="L363" s="47">
        <v>16.030097961425781</v>
      </c>
      <c r="M363" s="47">
        <v>12</v>
      </c>
    </row>
    <row r="364" spans="2:13">
      <c r="B364" s="47">
        <v>16</v>
      </c>
      <c r="C364" s="47">
        <v>8190.4229999999998</v>
      </c>
      <c r="D364" s="47">
        <v>12472.198</v>
      </c>
      <c r="E364" s="47">
        <v>13.229022026062012</v>
      </c>
      <c r="G364" s="47">
        <v>359</v>
      </c>
      <c r="H364" s="47">
        <v>8243.6744999999992</v>
      </c>
      <c r="I364" s="47">
        <v>16</v>
      </c>
      <c r="J364" s="47">
        <v>12987.885</v>
      </c>
      <c r="K364" s="47">
        <v>10</v>
      </c>
      <c r="L364" s="47">
        <v>16.051530838012695</v>
      </c>
      <c r="M364" s="47">
        <v>12</v>
      </c>
    </row>
    <row r="365" spans="2:13">
      <c r="B365" s="47">
        <v>16</v>
      </c>
      <c r="C365" s="47">
        <v>8154.1944999999996</v>
      </c>
      <c r="D365" s="47">
        <v>12063.7</v>
      </c>
      <c r="E365" s="47">
        <v>13.435183525085449</v>
      </c>
      <c r="G365" s="47">
        <v>360</v>
      </c>
      <c r="H365" s="47">
        <v>8254.5665000000008</v>
      </c>
      <c r="I365" s="47">
        <v>16</v>
      </c>
      <c r="J365" s="47">
        <v>12997.689</v>
      </c>
      <c r="K365" s="47">
        <v>8</v>
      </c>
      <c r="L365" s="47">
        <v>16.133171081542969</v>
      </c>
      <c r="M365" s="47">
        <v>6</v>
      </c>
    </row>
    <row r="366" spans="2:13">
      <c r="B366" s="47">
        <v>18</v>
      </c>
      <c r="C366" s="47">
        <v>8238.0385000000006</v>
      </c>
      <c r="D366" s="47">
        <v>10670.037</v>
      </c>
      <c r="E366" s="47">
        <v>10.771830558776855</v>
      </c>
      <c r="G366" s="47">
        <v>361</v>
      </c>
      <c r="H366" s="47">
        <v>8261.4804999999997</v>
      </c>
      <c r="I366" s="47">
        <v>12</v>
      </c>
      <c r="J366" s="47">
        <v>13005.909</v>
      </c>
      <c r="K366" s="47">
        <v>14</v>
      </c>
      <c r="L366" s="47">
        <v>16.168838500976563</v>
      </c>
      <c r="M366" s="47">
        <v>12</v>
      </c>
    </row>
    <row r="367" spans="2:13">
      <c r="B367" s="47">
        <v>18</v>
      </c>
      <c r="C367" s="47">
        <v>8655.7440000000006</v>
      </c>
      <c r="D367" s="47">
        <v>10703.904</v>
      </c>
      <c r="E367" s="47">
        <v>11.399449348449707</v>
      </c>
      <c r="G367" s="47">
        <v>362</v>
      </c>
      <c r="H367" s="47">
        <v>8265.8709999999992</v>
      </c>
      <c r="I367" s="47">
        <v>20</v>
      </c>
      <c r="J367" s="47">
        <v>13005.915000000001</v>
      </c>
      <c r="K367" s="47">
        <v>8</v>
      </c>
      <c r="L367" s="47">
        <v>16.193584442138672</v>
      </c>
      <c r="M367" s="47">
        <v>12</v>
      </c>
    </row>
    <row r="368" spans="2:13">
      <c r="B368" s="47">
        <v>18</v>
      </c>
      <c r="C368" s="47">
        <v>8117.3890000000001</v>
      </c>
      <c r="D368" s="47">
        <v>11101.36</v>
      </c>
      <c r="E368" s="47">
        <v>12.354214668273926</v>
      </c>
      <c r="G368" s="47">
        <v>363</v>
      </c>
      <c r="H368" s="47">
        <v>8267.5755000000008</v>
      </c>
      <c r="I368" s="47">
        <v>18</v>
      </c>
      <c r="J368" s="47">
        <v>13007.939</v>
      </c>
      <c r="K368" s="47">
        <v>8</v>
      </c>
      <c r="L368" s="47">
        <v>16.195344924926758</v>
      </c>
      <c r="M368" s="47">
        <v>14</v>
      </c>
    </row>
    <row r="369" spans="2:13">
      <c r="B369" s="47">
        <v>18</v>
      </c>
      <c r="C369" s="47">
        <v>8409.7019999999993</v>
      </c>
      <c r="D369" s="47">
        <v>13317.982</v>
      </c>
      <c r="E369" s="47">
        <v>11.840177536010742</v>
      </c>
      <c r="G369" s="47">
        <v>364</v>
      </c>
      <c r="H369" s="47">
        <v>8271.9429999999993</v>
      </c>
      <c r="I369" s="47">
        <v>14</v>
      </c>
      <c r="J369" s="47">
        <v>13018.929</v>
      </c>
      <c r="K369" s="47">
        <v>12</v>
      </c>
      <c r="L369" s="47">
        <v>16.217296600341797</v>
      </c>
      <c r="M369" s="47">
        <v>12</v>
      </c>
    </row>
    <row r="370" spans="2:13">
      <c r="B370" s="47">
        <v>18</v>
      </c>
      <c r="C370" s="47">
        <v>8684.5239999999994</v>
      </c>
      <c r="D370" s="47">
        <v>10943.33</v>
      </c>
      <c r="E370" s="47">
        <v>12.405790328979492</v>
      </c>
      <c r="G370" s="47">
        <v>365</v>
      </c>
      <c r="H370" s="47">
        <v>8274.3705000000009</v>
      </c>
      <c r="I370" s="47">
        <v>20</v>
      </c>
      <c r="J370" s="47">
        <v>13022.605</v>
      </c>
      <c r="K370" s="47">
        <v>12</v>
      </c>
      <c r="L370" s="47">
        <v>16.21989631652832</v>
      </c>
      <c r="M370" s="47">
        <v>12</v>
      </c>
    </row>
    <row r="371" spans="2:13">
      <c r="B371" s="47">
        <v>18</v>
      </c>
      <c r="C371" s="47">
        <v>8330.7095000000008</v>
      </c>
      <c r="D371" s="47">
        <v>11254.064</v>
      </c>
      <c r="E371" s="47">
        <v>13.040851593017578</v>
      </c>
      <c r="G371" s="47">
        <v>366</v>
      </c>
      <c r="H371" s="47">
        <v>8274.3850000000002</v>
      </c>
      <c r="I371" s="47">
        <v>16</v>
      </c>
      <c r="J371" s="47">
        <v>13040.893</v>
      </c>
      <c r="K371" s="47">
        <v>8</v>
      </c>
      <c r="L371" s="47">
        <v>16.220111846923828</v>
      </c>
      <c r="M371" s="47">
        <v>12</v>
      </c>
    </row>
    <row r="372" spans="2:13">
      <c r="B372" s="47">
        <v>18</v>
      </c>
      <c r="C372" s="47">
        <v>8163.1764999999996</v>
      </c>
      <c r="D372" s="47">
        <v>12132.618</v>
      </c>
      <c r="E372" s="47">
        <v>12.063288688659668</v>
      </c>
      <c r="G372" s="47">
        <v>367</v>
      </c>
      <c r="H372" s="47">
        <v>8284.6684999999998</v>
      </c>
      <c r="I372" s="47">
        <v>18</v>
      </c>
      <c r="J372" s="47">
        <v>13044.25</v>
      </c>
      <c r="K372" s="47">
        <v>8</v>
      </c>
      <c r="L372" s="47">
        <v>16.278247833251953</v>
      </c>
      <c r="M372" s="47">
        <v>14</v>
      </c>
    </row>
    <row r="373" spans="2:13">
      <c r="B373" s="47">
        <v>18</v>
      </c>
      <c r="C373" s="47">
        <v>8182.5805</v>
      </c>
      <c r="D373" s="47">
        <v>11195.967000000001</v>
      </c>
      <c r="E373" s="47">
        <v>12.100709915161133</v>
      </c>
      <c r="G373" s="47">
        <v>368</v>
      </c>
      <c r="H373" s="47">
        <v>8285.2384999999995</v>
      </c>
      <c r="I373" s="47">
        <v>20</v>
      </c>
      <c r="J373" s="47">
        <v>13082.248</v>
      </c>
      <c r="K373" s="47">
        <v>14</v>
      </c>
      <c r="L373" s="47">
        <v>16.278940200805664</v>
      </c>
      <c r="M373" s="47">
        <v>8</v>
      </c>
    </row>
    <row r="374" spans="2:13">
      <c r="B374" s="47">
        <v>18</v>
      </c>
      <c r="C374" s="47">
        <v>8210.4660000000003</v>
      </c>
      <c r="D374" s="47">
        <v>11296.544</v>
      </c>
      <c r="E374" s="47">
        <v>12.616076469421387</v>
      </c>
      <c r="G374" s="47">
        <v>369</v>
      </c>
      <c r="H374" s="47">
        <v>8290.4660000000003</v>
      </c>
      <c r="I374" s="47">
        <v>16</v>
      </c>
      <c r="J374" s="47">
        <v>13083.567999999999</v>
      </c>
      <c r="K374" s="47">
        <v>12</v>
      </c>
      <c r="L374" s="47">
        <v>16.287277221679688</v>
      </c>
      <c r="M374" s="47">
        <v>6</v>
      </c>
    </row>
    <row r="375" spans="2:13">
      <c r="B375" s="47">
        <v>18</v>
      </c>
      <c r="C375" s="47">
        <v>8480.9030000000002</v>
      </c>
      <c r="D375" s="47">
        <v>11041.183999999999</v>
      </c>
      <c r="E375" s="47">
        <v>10.487228393554688</v>
      </c>
      <c r="G375" s="47">
        <v>370</v>
      </c>
      <c r="H375" s="47">
        <v>8303.1090000000004</v>
      </c>
      <c r="I375" s="47">
        <v>18</v>
      </c>
      <c r="J375" s="47">
        <v>13086.695</v>
      </c>
      <c r="K375" s="47">
        <v>14</v>
      </c>
      <c r="L375" s="47">
        <v>16.310007095336914</v>
      </c>
      <c r="M375" s="47">
        <v>12</v>
      </c>
    </row>
    <row r="376" spans="2:13">
      <c r="B376" s="47">
        <v>18</v>
      </c>
      <c r="C376" s="47">
        <v>8728.2630000000008</v>
      </c>
      <c r="D376" s="47">
        <v>10415.138000000001</v>
      </c>
      <c r="E376" s="47">
        <v>10.790127754211426</v>
      </c>
      <c r="G376" s="47">
        <v>371</v>
      </c>
      <c r="H376" s="47">
        <v>8305.1919999999991</v>
      </c>
      <c r="I376" s="47">
        <v>16</v>
      </c>
      <c r="J376" s="47">
        <v>13101.290999999999</v>
      </c>
      <c r="K376" s="47">
        <v>14</v>
      </c>
      <c r="L376" s="47">
        <v>16.318098068237305</v>
      </c>
      <c r="M376" s="47">
        <v>14</v>
      </c>
    </row>
    <row r="377" spans="2:13">
      <c r="B377" s="47">
        <v>18</v>
      </c>
      <c r="C377" s="47">
        <v>9045.8349999999991</v>
      </c>
      <c r="D377" s="47">
        <v>12829.852999999999</v>
      </c>
      <c r="E377" s="47">
        <v>15.766495704650879</v>
      </c>
      <c r="G377" s="47">
        <v>372</v>
      </c>
      <c r="H377" s="47">
        <v>8305.8889999999992</v>
      </c>
      <c r="I377" s="47">
        <v>18</v>
      </c>
      <c r="J377" s="47">
        <v>13104.867</v>
      </c>
      <c r="K377" s="47">
        <v>8</v>
      </c>
      <c r="L377" s="47">
        <v>16.321182250976563</v>
      </c>
      <c r="M377" s="47">
        <v>12</v>
      </c>
    </row>
    <row r="378" spans="2:13">
      <c r="B378" s="47">
        <v>18</v>
      </c>
      <c r="C378" s="47">
        <v>8066.643</v>
      </c>
      <c r="D378" s="47">
        <v>11547.934999999999</v>
      </c>
      <c r="E378" s="47">
        <v>11.880672454833984</v>
      </c>
      <c r="G378" s="47">
        <v>373</v>
      </c>
      <c r="H378" s="47">
        <v>8307.6309999999994</v>
      </c>
      <c r="I378" s="47">
        <v>14</v>
      </c>
      <c r="J378" s="47">
        <v>13111.343000000001</v>
      </c>
      <c r="K378" s="47">
        <v>10</v>
      </c>
      <c r="L378" s="47">
        <v>16.349237442016602</v>
      </c>
      <c r="M378" s="47">
        <v>12</v>
      </c>
    </row>
    <row r="379" spans="2:13">
      <c r="B379" s="47">
        <v>18</v>
      </c>
      <c r="C379" s="47">
        <v>8885.3369999999995</v>
      </c>
      <c r="D379" s="47">
        <v>12070.371999999999</v>
      </c>
      <c r="E379" s="47">
        <v>12.410969734191895</v>
      </c>
      <c r="G379" s="47">
        <v>374</v>
      </c>
      <c r="H379" s="47">
        <v>8309.5565000000006</v>
      </c>
      <c r="I379" s="47">
        <v>12</v>
      </c>
      <c r="J379" s="47">
        <v>13113.223</v>
      </c>
      <c r="K379" s="47">
        <v>8</v>
      </c>
      <c r="L379" s="47">
        <v>16.353219985961914</v>
      </c>
      <c r="M379" s="47">
        <v>12</v>
      </c>
    </row>
    <row r="380" spans="2:13">
      <c r="B380" s="47">
        <v>18</v>
      </c>
      <c r="C380" s="47">
        <v>8380.6124999999993</v>
      </c>
      <c r="D380" s="47">
        <v>11967.643</v>
      </c>
      <c r="E380" s="47">
        <v>12.794976234436035</v>
      </c>
      <c r="G380" s="47">
        <v>375</v>
      </c>
      <c r="H380" s="47">
        <v>8317.5845000000008</v>
      </c>
      <c r="I380" s="47">
        <v>16</v>
      </c>
      <c r="J380" s="47">
        <v>13120.531999999999</v>
      </c>
      <c r="K380" s="47">
        <v>10</v>
      </c>
      <c r="L380" s="47">
        <v>16.358798980712891</v>
      </c>
      <c r="M380" s="47">
        <v>12</v>
      </c>
    </row>
    <row r="381" spans="2:13">
      <c r="B381" s="47">
        <v>18</v>
      </c>
      <c r="C381" s="47">
        <v>8448.7389999999996</v>
      </c>
      <c r="D381" s="47">
        <v>11118.546</v>
      </c>
      <c r="E381" s="47">
        <v>12.245086669921875</v>
      </c>
      <c r="G381" s="47">
        <v>376</v>
      </c>
      <c r="H381" s="47">
        <v>8322.8714999999993</v>
      </c>
      <c r="I381" s="47">
        <v>16</v>
      </c>
      <c r="J381" s="47">
        <v>13125.857</v>
      </c>
      <c r="K381" s="47">
        <v>8</v>
      </c>
      <c r="L381" s="47">
        <v>16.397811889648438</v>
      </c>
      <c r="M381" s="47">
        <v>12</v>
      </c>
    </row>
    <row r="382" spans="2:13">
      <c r="B382" s="47">
        <v>18</v>
      </c>
      <c r="C382" s="47">
        <v>8370.6810000000005</v>
      </c>
      <c r="D382" s="47">
        <v>12432.407999999999</v>
      </c>
      <c r="E382" s="47">
        <v>11.633013725280762</v>
      </c>
      <c r="G382" s="47">
        <v>377</v>
      </c>
      <c r="H382" s="47">
        <v>8325.1365000000005</v>
      </c>
      <c r="I382" s="47">
        <v>14</v>
      </c>
      <c r="J382" s="47">
        <v>13145.491</v>
      </c>
      <c r="K382" s="47">
        <v>8</v>
      </c>
      <c r="L382" s="47">
        <v>16.404050827026367</v>
      </c>
      <c r="M382" s="47">
        <v>12</v>
      </c>
    </row>
    <row r="383" spans="2:13">
      <c r="B383" s="47">
        <v>18</v>
      </c>
      <c r="C383" s="47">
        <v>8092.3924999999999</v>
      </c>
      <c r="D383" s="47">
        <v>11520.924999999999</v>
      </c>
      <c r="E383" s="47">
        <v>12.715810775756836</v>
      </c>
      <c r="G383" s="47">
        <v>378</v>
      </c>
      <c r="H383" s="47">
        <v>8330.7095000000008</v>
      </c>
      <c r="I383" s="47">
        <v>18</v>
      </c>
      <c r="J383" s="47">
        <v>13147.837</v>
      </c>
      <c r="K383" s="47">
        <v>8</v>
      </c>
      <c r="L383" s="47">
        <v>16.438209533691406</v>
      </c>
      <c r="M383" s="47">
        <v>12</v>
      </c>
    </row>
    <row r="384" spans="2:13">
      <c r="B384" s="47">
        <v>18</v>
      </c>
      <c r="C384" s="47">
        <v>8812.0720000000001</v>
      </c>
      <c r="D384" s="47">
        <v>11975.695</v>
      </c>
      <c r="E384" s="47">
        <v>12.110803604125977</v>
      </c>
      <c r="G384" s="47">
        <v>379</v>
      </c>
      <c r="H384" s="47">
        <v>8334.3824999999997</v>
      </c>
      <c r="I384" s="47">
        <v>16</v>
      </c>
      <c r="J384" s="47">
        <v>13164.429</v>
      </c>
      <c r="K384" s="47">
        <v>8</v>
      </c>
      <c r="L384" s="47">
        <v>16.441385269165039</v>
      </c>
      <c r="M384" s="47">
        <v>12</v>
      </c>
    </row>
    <row r="385" spans="2:13">
      <c r="B385" s="47">
        <v>18</v>
      </c>
      <c r="C385" s="47">
        <v>8267.5755000000008</v>
      </c>
      <c r="D385" s="47">
        <v>12054.898999999999</v>
      </c>
      <c r="E385" s="47">
        <v>12.39626407623291</v>
      </c>
      <c r="G385" s="47">
        <v>380</v>
      </c>
      <c r="H385" s="47">
        <v>8343.5419999999995</v>
      </c>
      <c r="I385" s="47">
        <v>16</v>
      </c>
      <c r="J385" s="47">
        <v>13172.237999999999</v>
      </c>
      <c r="K385" s="47">
        <v>14</v>
      </c>
      <c r="L385" s="47">
        <v>16.450035095214844</v>
      </c>
      <c r="M385" s="47">
        <v>12</v>
      </c>
    </row>
    <row r="386" spans="2:13">
      <c r="B386" s="47">
        <v>18</v>
      </c>
      <c r="C386" s="47">
        <v>8305.8889999999992</v>
      </c>
      <c r="D386" s="47">
        <v>11682.284</v>
      </c>
      <c r="E386" s="47">
        <v>12.341717720031738</v>
      </c>
      <c r="G386" s="47">
        <v>381</v>
      </c>
      <c r="H386" s="47">
        <v>8346.3860000000004</v>
      </c>
      <c r="I386" s="47">
        <v>18</v>
      </c>
      <c r="J386" s="47">
        <v>13182.813</v>
      </c>
      <c r="K386" s="47">
        <v>14</v>
      </c>
      <c r="L386" s="47">
        <v>16.450885772705078</v>
      </c>
      <c r="M386" s="47">
        <v>14</v>
      </c>
    </row>
    <row r="387" spans="2:13">
      <c r="B387" s="47">
        <v>18</v>
      </c>
      <c r="C387" s="47">
        <v>8714.0210000000006</v>
      </c>
      <c r="D387" s="47">
        <v>11152.513000000001</v>
      </c>
      <c r="E387" s="47">
        <v>11.491589546203613</v>
      </c>
      <c r="G387" s="47">
        <v>382</v>
      </c>
      <c r="H387" s="47">
        <v>8349.7075000000004</v>
      </c>
      <c r="I387" s="47">
        <v>16</v>
      </c>
      <c r="J387" s="47">
        <v>13184.223</v>
      </c>
      <c r="K387" s="47">
        <v>12</v>
      </c>
      <c r="L387" s="47">
        <v>16.455514907836914</v>
      </c>
      <c r="M387" s="47">
        <v>12</v>
      </c>
    </row>
    <row r="388" spans="2:13">
      <c r="B388" s="47">
        <v>18</v>
      </c>
      <c r="C388" s="47">
        <v>9033.1540000000005</v>
      </c>
      <c r="D388" s="47">
        <v>12337.031999999999</v>
      </c>
      <c r="E388" s="47">
        <v>13.108488082885742</v>
      </c>
      <c r="G388" s="47">
        <v>383</v>
      </c>
      <c r="H388" s="47">
        <v>8356.4495000000006</v>
      </c>
      <c r="I388" s="47">
        <v>18</v>
      </c>
      <c r="J388" s="47">
        <v>13188.819</v>
      </c>
      <c r="K388" s="47">
        <v>14</v>
      </c>
      <c r="L388" s="47">
        <v>16.502368927001953</v>
      </c>
      <c r="M388" s="47">
        <v>12</v>
      </c>
    </row>
    <row r="389" spans="2:13">
      <c r="B389" s="47">
        <v>18</v>
      </c>
      <c r="C389" s="47">
        <v>8978.2309999999998</v>
      </c>
      <c r="D389" s="47">
        <v>11635.745000000001</v>
      </c>
      <c r="E389" s="47">
        <v>11.896761894226074</v>
      </c>
      <c r="G389" s="47">
        <v>384</v>
      </c>
      <c r="H389" s="47">
        <v>8357.8155000000006</v>
      </c>
      <c r="I389" s="47">
        <v>18</v>
      </c>
      <c r="J389" s="47">
        <v>13190.308999999999</v>
      </c>
      <c r="K389" s="47">
        <v>8</v>
      </c>
      <c r="L389" s="47">
        <v>16.507879257202148</v>
      </c>
      <c r="M389" s="47">
        <v>8</v>
      </c>
    </row>
    <row r="390" spans="2:13">
      <c r="B390" s="47">
        <v>18</v>
      </c>
      <c r="C390" s="47">
        <v>8226.6384999999991</v>
      </c>
      <c r="D390" s="47">
        <v>11752.465</v>
      </c>
      <c r="E390" s="47">
        <v>11.960766792297363</v>
      </c>
      <c r="G390" s="47">
        <v>385</v>
      </c>
      <c r="H390" s="47">
        <v>8361.1144999999997</v>
      </c>
      <c r="I390" s="47">
        <v>16</v>
      </c>
      <c r="J390" s="47">
        <v>13200.646000000001</v>
      </c>
      <c r="K390" s="47">
        <v>14</v>
      </c>
      <c r="L390" s="47">
        <v>16.514205932617188</v>
      </c>
      <c r="M390" s="47">
        <v>10</v>
      </c>
    </row>
    <row r="391" spans="2:13">
      <c r="B391" s="47">
        <v>18</v>
      </c>
      <c r="C391" s="47">
        <v>8683.5159999999996</v>
      </c>
      <c r="D391" s="47">
        <v>12504.101000000001</v>
      </c>
      <c r="E391" s="47">
        <v>12.164920806884766</v>
      </c>
      <c r="G391" s="47">
        <v>386</v>
      </c>
      <c r="H391" s="47">
        <v>8366.4295000000002</v>
      </c>
      <c r="I391" s="47">
        <v>18</v>
      </c>
      <c r="J391" s="47">
        <v>13204.743</v>
      </c>
      <c r="K391" s="47">
        <v>14</v>
      </c>
      <c r="L391" s="47">
        <v>16.526168823242188</v>
      </c>
      <c r="M391" s="47">
        <v>12</v>
      </c>
    </row>
    <row r="392" spans="2:13">
      <c r="B392" s="47">
        <v>18</v>
      </c>
      <c r="C392" s="47">
        <v>8399.4639999999999</v>
      </c>
      <c r="D392" s="47">
        <v>11045.536</v>
      </c>
      <c r="E392" s="47">
        <v>11.201815605163574</v>
      </c>
      <c r="G392" s="47">
        <v>387</v>
      </c>
      <c r="H392" s="47">
        <v>8370.6810000000005</v>
      </c>
      <c r="I392" s="47">
        <v>18</v>
      </c>
      <c r="J392" s="47">
        <v>13208.333000000001</v>
      </c>
      <c r="K392" s="47">
        <v>10</v>
      </c>
      <c r="L392" s="47">
        <v>16.542394638061523</v>
      </c>
      <c r="M392" s="47">
        <v>12</v>
      </c>
    </row>
    <row r="393" spans="2:13">
      <c r="B393" s="47">
        <v>18</v>
      </c>
      <c r="C393" s="47">
        <v>8736.0990000000002</v>
      </c>
      <c r="D393" s="47">
        <v>10733.601000000001</v>
      </c>
      <c r="E393" s="47">
        <v>11.728519439697266</v>
      </c>
      <c r="G393" s="47">
        <v>388</v>
      </c>
      <c r="H393" s="47">
        <v>8380.6124999999993</v>
      </c>
      <c r="I393" s="47">
        <v>18</v>
      </c>
      <c r="J393" s="47">
        <v>13210.41</v>
      </c>
      <c r="K393" s="47">
        <v>12</v>
      </c>
      <c r="L393" s="47">
        <v>16.555883407592773</v>
      </c>
      <c r="M393" s="47">
        <v>12</v>
      </c>
    </row>
    <row r="394" spans="2:13">
      <c r="B394" s="47">
        <v>18</v>
      </c>
      <c r="C394" s="47">
        <v>8284.6684999999998</v>
      </c>
      <c r="D394" s="47">
        <v>11954.909</v>
      </c>
      <c r="E394" s="47">
        <v>13.588135719299316</v>
      </c>
      <c r="G394" s="47">
        <v>389</v>
      </c>
      <c r="H394" s="47">
        <v>8381.7939999999999</v>
      </c>
      <c r="I394" s="47">
        <v>20</v>
      </c>
      <c r="J394" s="47">
        <v>13227.101000000001</v>
      </c>
      <c r="K394" s="47">
        <v>12</v>
      </c>
      <c r="L394" s="47">
        <v>16.56634521484375</v>
      </c>
      <c r="M394" s="47">
        <v>12</v>
      </c>
    </row>
    <row r="395" spans="2:13">
      <c r="B395" s="47">
        <v>18</v>
      </c>
      <c r="C395" s="47">
        <v>8589.1630000000005</v>
      </c>
      <c r="D395" s="47">
        <v>11044.722</v>
      </c>
      <c r="E395" s="47">
        <v>12.726799011230469</v>
      </c>
      <c r="G395" s="47">
        <v>390</v>
      </c>
      <c r="H395" s="47">
        <v>8382.8760000000002</v>
      </c>
      <c r="I395" s="47">
        <v>20</v>
      </c>
      <c r="J395" s="47">
        <v>13232.398999999999</v>
      </c>
      <c r="K395" s="47">
        <v>14</v>
      </c>
      <c r="L395" s="47">
        <v>16.570846557617188</v>
      </c>
      <c r="M395" s="47">
        <v>12</v>
      </c>
    </row>
    <row r="396" spans="2:13">
      <c r="B396" s="47">
        <v>18</v>
      </c>
      <c r="C396" s="47">
        <v>9091.0229999999992</v>
      </c>
      <c r="D396" s="47">
        <v>11130.745999999999</v>
      </c>
      <c r="E396" s="47">
        <v>12.36133861541748</v>
      </c>
      <c r="G396" s="47">
        <v>391</v>
      </c>
      <c r="H396" s="47">
        <v>8383.6049999999996</v>
      </c>
      <c r="I396" s="47">
        <v>20</v>
      </c>
      <c r="J396" s="47">
        <v>13259.254999999999</v>
      </c>
      <c r="K396" s="47">
        <v>12</v>
      </c>
      <c r="L396" s="47">
        <v>16.573337554931641</v>
      </c>
      <c r="M396" s="47">
        <v>12</v>
      </c>
    </row>
    <row r="397" spans="2:13">
      <c r="B397" s="47">
        <v>18</v>
      </c>
      <c r="C397" s="47">
        <v>8839.8420000000006</v>
      </c>
      <c r="D397" s="47">
        <v>11297.424000000001</v>
      </c>
      <c r="E397" s="47">
        <v>12.332560539245605</v>
      </c>
      <c r="G397" s="47">
        <v>392</v>
      </c>
      <c r="H397" s="47">
        <v>8383.8040000000001</v>
      </c>
      <c r="I397" s="47">
        <v>16</v>
      </c>
      <c r="J397" s="47">
        <v>13263.112999999999</v>
      </c>
      <c r="K397" s="47">
        <v>12</v>
      </c>
      <c r="L397" s="47">
        <v>16.588155746459961</v>
      </c>
      <c r="M397" s="47">
        <v>8</v>
      </c>
    </row>
    <row r="398" spans="2:13">
      <c r="B398" s="47">
        <v>18</v>
      </c>
      <c r="C398" s="47">
        <v>8859.0460000000003</v>
      </c>
      <c r="D398" s="47">
        <v>10886.655000000001</v>
      </c>
      <c r="E398" s="47">
        <v>11.588923454284668</v>
      </c>
      <c r="G398" s="47">
        <v>393</v>
      </c>
      <c r="H398" s="47">
        <v>8383.884</v>
      </c>
      <c r="I398" s="47">
        <v>14</v>
      </c>
      <c r="J398" s="47">
        <v>13277.457</v>
      </c>
      <c r="K398" s="47">
        <v>12</v>
      </c>
      <c r="L398" s="47">
        <v>16.589361190795898</v>
      </c>
      <c r="M398" s="47">
        <v>10</v>
      </c>
    </row>
    <row r="399" spans="2:13">
      <c r="B399" s="47">
        <v>18</v>
      </c>
      <c r="C399" s="47">
        <v>9108.5079999999998</v>
      </c>
      <c r="D399" s="47">
        <v>11590.161</v>
      </c>
      <c r="E399" s="47">
        <v>11.783818244934082</v>
      </c>
      <c r="G399" s="47">
        <v>394</v>
      </c>
      <c r="H399" s="47">
        <v>8387.5509999999995</v>
      </c>
      <c r="I399" s="47">
        <v>18</v>
      </c>
      <c r="J399" s="47">
        <v>13282.421</v>
      </c>
      <c r="K399" s="47">
        <v>8</v>
      </c>
      <c r="L399" s="47">
        <v>16.651628494262695</v>
      </c>
      <c r="M399" s="47">
        <v>12</v>
      </c>
    </row>
    <row r="400" spans="2:13">
      <c r="B400" s="47">
        <v>18</v>
      </c>
      <c r="C400" s="47">
        <v>8551.7099999999991</v>
      </c>
      <c r="D400" s="47">
        <v>11448.995999999999</v>
      </c>
      <c r="E400" s="47">
        <v>13.466150283813477</v>
      </c>
      <c r="G400" s="47">
        <v>395</v>
      </c>
      <c r="H400" s="47">
        <v>8388.0895</v>
      </c>
      <c r="I400" s="47">
        <v>16</v>
      </c>
      <c r="J400" s="47">
        <v>13292.214</v>
      </c>
      <c r="K400" s="47">
        <v>14</v>
      </c>
      <c r="L400" s="47">
        <v>16.655971527099609</v>
      </c>
      <c r="M400" s="47">
        <v>12</v>
      </c>
    </row>
    <row r="401" spans="2:13">
      <c r="B401" s="47">
        <v>18</v>
      </c>
      <c r="C401" s="47">
        <v>8851.7990000000009</v>
      </c>
      <c r="D401" s="47">
        <v>12160.717000000001</v>
      </c>
      <c r="E401" s="47">
        <v>13.034626007080078</v>
      </c>
      <c r="G401" s="47">
        <v>396</v>
      </c>
      <c r="H401" s="47">
        <v>8389.5720000000001</v>
      </c>
      <c r="I401" s="47">
        <v>16</v>
      </c>
      <c r="J401" s="47">
        <v>13300.56</v>
      </c>
      <c r="K401" s="47">
        <v>10</v>
      </c>
      <c r="L401" s="47">
        <v>16.677587509155273</v>
      </c>
      <c r="M401" s="47">
        <v>10</v>
      </c>
    </row>
    <row r="402" spans="2:13">
      <c r="B402" s="47">
        <v>18</v>
      </c>
      <c r="C402" s="47">
        <v>8452.7340000000004</v>
      </c>
      <c r="D402" s="47">
        <v>11974.33</v>
      </c>
      <c r="E402" s="47">
        <v>12.544685363769531</v>
      </c>
      <c r="G402" s="47">
        <v>397</v>
      </c>
      <c r="H402" s="47">
        <v>8395.6640000000007</v>
      </c>
      <c r="I402" s="47">
        <v>20</v>
      </c>
      <c r="J402" s="47">
        <v>13313.447</v>
      </c>
      <c r="K402" s="47">
        <v>12</v>
      </c>
      <c r="L402" s="47">
        <v>16.705699920654297</v>
      </c>
      <c r="M402" s="47">
        <v>12</v>
      </c>
    </row>
    <row r="403" spans="2:13">
      <c r="B403" s="47">
        <v>18</v>
      </c>
      <c r="C403" s="47">
        <v>8994.1530000000002</v>
      </c>
      <c r="D403" s="47">
        <v>12287.157999999999</v>
      </c>
      <c r="E403" s="47">
        <v>14.315909385681152</v>
      </c>
      <c r="G403" s="47">
        <v>398</v>
      </c>
      <c r="H403" s="47">
        <v>8398.2510000000002</v>
      </c>
      <c r="I403" s="47">
        <v>16</v>
      </c>
      <c r="J403" s="47">
        <v>13317.982</v>
      </c>
      <c r="K403" s="47">
        <v>18</v>
      </c>
      <c r="L403" s="47">
        <v>16.706857681274414</v>
      </c>
      <c r="M403" s="47">
        <v>12</v>
      </c>
    </row>
    <row r="404" spans="2:13">
      <c r="B404" s="47">
        <v>18</v>
      </c>
      <c r="C404" s="47">
        <v>8991.6389999999992</v>
      </c>
      <c r="D404" s="47">
        <v>12260.069</v>
      </c>
      <c r="E404" s="47">
        <v>13.741439819335938</v>
      </c>
      <c r="G404" s="47">
        <v>399</v>
      </c>
      <c r="H404" s="47">
        <v>8399.0079999999998</v>
      </c>
      <c r="I404" s="47">
        <v>20</v>
      </c>
      <c r="J404" s="47">
        <v>13323.107</v>
      </c>
      <c r="K404" s="47">
        <v>10</v>
      </c>
      <c r="L404" s="47">
        <v>16.710329055786133</v>
      </c>
      <c r="M404" s="47">
        <v>12</v>
      </c>
    </row>
    <row r="405" spans="2:13">
      <c r="B405" s="47">
        <v>18</v>
      </c>
      <c r="C405" s="47">
        <v>9044.866</v>
      </c>
      <c r="D405" s="47">
        <v>11901.981</v>
      </c>
      <c r="E405" s="47">
        <v>12.355725288391113</v>
      </c>
      <c r="G405" s="47">
        <v>400</v>
      </c>
      <c r="H405" s="47">
        <v>8399.268</v>
      </c>
      <c r="I405" s="47">
        <v>20</v>
      </c>
      <c r="J405" s="47">
        <v>13325.444</v>
      </c>
      <c r="K405" s="47">
        <v>10</v>
      </c>
      <c r="L405" s="47">
        <v>16.711767196655273</v>
      </c>
      <c r="M405" s="47">
        <v>10</v>
      </c>
    </row>
    <row r="406" spans="2:13">
      <c r="B406" s="47">
        <v>18</v>
      </c>
      <c r="C406" s="47">
        <v>8901.1659999999993</v>
      </c>
      <c r="D406" s="47">
        <v>12742.337</v>
      </c>
      <c r="E406" s="47">
        <v>13.018619537353516</v>
      </c>
      <c r="G406" s="47">
        <v>401</v>
      </c>
      <c r="H406" s="47">
        <v>8399.4639999999999</v>
      </c>
      <c r="I406" s="47">
        <v>18</v>
      </c>
      <c r="J406" s="47">
        <v>13328.33</v>
      </c>
      <c r="K406" s="47">
        <v>8</v>
      </c>
      <c r="L406" s="47">
        <v>16.734657287597656</v>
      </c>
      <c r="M406" s="47">
        <v>12</v>
      </c>
    </row>
    <row r="407" spans="2:13">
      <c r="B407" s="47">
        <v>18</v>
      </c>
      <c r="C407" s="47">
        <v>8448.2780000000002</v>
      </c>
      <c r="D407" s="47">
        <v>11383.141</v>
      </c>
      <c r="E407" s="47">
        <v>10.848333358764648</v>
      </c>
      <c r="G407" s="47">
        <v>402</v>
      </c>
      <c r="H407" s="47">
        <v>8400.2819999999992</v>
      </c>
      <c r="I407" s="47">
        <v>20</v>
      </c>
      <c r="J407" s="47">
        <v>13329.895</v>
      </c>
      <c r="K407" s="47">
        <v>8</v>
      </c>
      <c r="L407" s="47">
        <v>16.754758834838867</v>
      </c>
      <c r="M407" s="47">
        <v>12</v>
      </c>
    </row>
    <row r="408" spans="2:13">
      <c r="B408" s="47">
        <v>18</v>
      </c>
      <c r="C408" s="47">
        <v>8414.0959999999995</v>
      </c>
      <c r="D408" s="47">
        <v>12156.767</v>
      </c>
      <c r="E408" s="47">
        <v>13.833733558654785</v>
      </c>
      <c r="G408" s="47">
        <v>403</v>
      </c>
      <c r="H408" s="47">
        <v>8401.1010000000006</v>
      </c>
      <c r="I408" s="47">
        <v>16</v>
      </c>
      <c r="J408" s="47">
        <v>13330.159</v>
      </c>
      <c r="K408" s="47">
        <v>8</v>
      </c>
      <c r="L408" s="47">
        <v>16.757938385009766</v>
      </c>
      <c r="M408" s="47">
        <v>12</v>
      </c>
    </row>
    <row r="409" spans="2:13">
      <c r="B409" s="47">
        <v>18</v>
      </c>
      <c r="C409" s="47">
        <v>8892.9590000000007</v>
      </c>
      <c r="D409" s="47">
        <v>11227.407999999999</v>
      </c>
      <c r="E409" s="47">
        <v>11.905855178833008</v>
      </c>
      <c r="G409" s="47">
        <v>404</v>
      </c>
      <c r="H409" s="47">
        <v>8401.48</v>
      </c>
      <c r="I409" s="47">
        <v>18</v>
      </c>
      <c r="J409" s="47">
        <v>13339.596</v>
      </c>
      <c r="K409" s="47">
        <v>8</v>
      </c>
      <c r="L409" s="47">
        <v>16.77427864074707</v>
      </c>
      <c r="M409" s="47">
        <v>12</v>
      </c>
    </row>
    <row r="410" spans="2:13">
      <c r="B410" s="47">
        <v>18</v>
      </c>
      <c r="C410" s="47">
        <v>8357.8155000000006</v>
      </c>
      <c r="D410" s="47">
        <v>10534.968000000001</v>
      </c>
      <c r="E410" s="47">
        <v>11.134340286254883</v>
      </c>
      <c r="G410" s="47">
        <v>405</v>
      </c>
      <c r="H410" s="47">
        <v>8408.1859999999997</v>
      </c>
      <c r="I410" s="47">
        <v>20</v>
      </c>
      <c r="J410" s="47">
        <v>13341.9</v>
      </c>
      <c r="K410" s="47">
        <v>8</v>
      </c>
      <c r="L410" s="47">
        <v>16.7857666015625</v>
      </c>
      <c r="M410" s="47">
        <v>8</v>
      </c>
    </row>
    <row r="411" spans="2:13">
      <c r="B411" s="47">
        <v>18</v>
      </c>
      <c r="C411" s="47">
        <v>9092.8179999999993</v>
      </c>
      <c r="D411" s="47">
        <v>12466.87</v>
      </c>
      <c r="E411" s="47">
        <v>12.504961967468262</v>
      </c>
      <c r="G411" s="47">
        <v>406</v>
      </c>
      <c r="H411" s="47">
        <v>8409.7019999999993</v>
      </c>
      <c r="I411" s="47">
        <v>18</v>
      </c>
      <c r="J411" s="47">
        <v>13343.41</v>
      </c>
      <c r="K411" s="47">
        <v>8</v>
      </c>
      <c r="L411" s="47">
        <v>16.809043884277344</v>
      </c>
      <c r="M411" s="47">
        <v>10</v>
      </c>
    </row>
    <row r="412" spans="2:13">
      <c r="B412" s="47">
        <v>18</v>
      </c>
      <c r="C412" s="47">
        <v>8863.7839999999997</v>
      </c>
      <c r="D412" s="47">
        <v>11391.239</v>
      </c>
      <c r="E412" s="47">
        <v>12.655155181884766</v>
      </c>
      <c r="G412" s="47">
        <v>407</v>
      </c>
      <c r="H412" s="47">
        <v>8412.6229999999996</v>
      </c>
      <c r="I412" s="47">
        <v>20</v>
      </c>
      <c r="J412" s="47">
        <v>13348.252</v>
      </c>
      <c r="K412" s="47">
        <v>12</v>
      </c>
      <c r="L412" s="47">
        <v>16.813093185424805</v>
      </c>
      <c r="M412" s="47">
        <v>8</v>
      </c>
    </row>
    <row r="413" spans="2:13">
      <c r="B413" s="47">
        <v>18</v>
      </c>
      <c r="C413" s="47">
        <v>8482.3809999999994</v>
      </c>
      <c r="D413" s="47">
        <v>10976.707</v>
      </c>
      <c r="E413" s="47">
        <v>11.988593101501465</v>
      </c>
      <c r="G413" s="47">
        <v>408</v>
      </c>
      <c r="H413" s="47">
        <v>8412.9189999999999</v>
      </c>
      <c r="I413" s="47">
        <v>20</v>
      </c>
      <c r="J413" s="47">
        <v>13372.644</v>
      </c>
      <c r="K413" s="47">
        <v>12</v>
      </c>
      <c r="L413" s="47">
        <v>16.824579238891602</v>
      </c>
      <c r="M413" s="47">
        <v>10</v>
      </c>
    </row>
    <row r="414" spans="2:13">
      <c r="B414" s="47">
        <v>18</v>
      </c>
      <c r="C414" s="47">
        <v>8903.2620000000006</v>
      </c>
      <c r="D414" s="47">
        <v>12323.299000000001</v>
      </c>
      <c r="E414" s="47">
        <v>13.629913330078125</v>
      </c>
      <c r="G414" s="47">
        <v>409</v>
      </c>
      <c r="H414" s="47">
        <v>8414.0959999999995</v>
      </c>
      <c r="I414" s="47">
        <v>18</v>
      </c>
      <c r="J414" s="47">
        <v>13376.409</v>
      </c>
      <c r="K414" s="47">
        <v>8</v>
      </c>
      <c r="L414" s="47">
        <v>16.855258941650391</v>
      </c>
      <c r="M414" s="47">
        <v>8</v>
      </c>
    </row>
    <row r="415" spans="2:13">
      <c r="B415" s="47">
        <v>18</v>
      </c>
      <c r="C415" s="47">
        <v>8533.6200000000008</v>
      </c>
      <c r="D415" s="47">
        <v>12081.728999999999</v>
      </c>
      <c r="E415" s="47">
        <v>13.189785003662109</v>
      </c>
      <c r="G415" s="47">
        <v>410</v>
      </c>
      <c r="H415" s="47">
        <v>8420.402</v>
      </c>
      <c r="I415" s="47">
        <v>20</v>
      </c>
      <c r="J415" s="47">
        <v>13377.253000000001</v>
      </c>
      <c r="K415" s="47">
        <v>12</v>
      </c>
      <c r="L415" s="47">
        <v>16.866073608398438</v>
      </c>
      <c r="M415" s="47">
        <v>10</v>
      </c>
    </row>
    <row r="416" spans="2:13">
      <c r="B416" s="47">
        <v>18</v>
      </c>
      <c r="C416" s="47">
        <v>8854.6990000000005</v>
      </c>
      <c r="D416" s="47">
        <v>11942.263999999999</v>
      </c>
      <c r="E416" s="47">
        <v>12.043862342834473</v>
      </c>
      <c r="G416" s="47">
        <v>411</v>
      </c>
      <c r="H416" s="47">
        <v>8428.6589999999997</v>
      </c>
      <c r="I416" s="47">
        <v>12</v>
      </c>
      <c r="J416" s="47">
        <v>13382.674999999999</v>
      </c>
      <c r="K416" s="47">
        <v>8</v>
      </c>
      <c r="L416" s="47">
        <v>16.883964538574219</v>
      </c>
      <c r="M416" s="47">
        <v>10</v>
      </c>
    </row>
    <row r="417" spans="2:13">
      <c r="B417" s="47">
        <v>18</v>
      </c>
      <c r="C417" s="47">
        <v>8512.8919999999998</v>
      </c>
      <c r="D417" s="47">
        <v>11178.877</v>
      </c>
      <c r="E417" s="47">
        <v>12.404642105102539</v>
      </c>
      <c r="G417" s="47">
        <v>412</v>
      </c>
      <c r="H417" s="47">
        <v>8433.4279999999999</v>
      </c>
      <c r="I417" s="47">
        <v>16</v>
      </c>
      <c r="J417" s="47">
        <v>13386.279</v>
      </c>
      <c r="K417" s="47">
        <v>14</v>
      </c>
      <c r="L417" s="47">
        <v>16.887750625610352</v>
      </c>
      <c r="M417" s="47">
        <v>8</v>
      </c>
    </row>
    <row r="418" spans="2:13">
      <c r="B418" s="47">
        <v>18</v>
      </c>
      <c r="C418" s="47">
        <v>8716.9040000000005</v>
      </c>
      <c r="D418" s="47">
        <v>11222.189</v>
      </c>
      <c r="E418" s="47">
        <v>13.541327476501465</v>
      </c>
      <c r="G418" s="47">
        <v>413</v>
      </c>
      <c r="H418" s="47">
        <v>8441.41</v>
      </c>
      <c r="I418" s="47">
        <v>14</v>
      </c>
      <c r="J418" s="47">
        <v>13386.439</v>
      </c>
      <c r="K418" s="47">
        <v>12</v>
      </c>
      <c r="L418" s="47">
        <v>16.901660919189453</v>
      </c>
      <c r="M418" s="47">
        <v>8</v>
      </c>
    </row>
    <row r="419" spans="2:13">
      <c r="B419" s="47">
        <v>18</v>
      </c>
      <c r="C419" s="47">
        <v>8387.5509999999995</v>
      </c>
      <c r="D419" s="47">
        <v>12027.552</v>
      </c>
      <c r="E419" s="47">
        <v>13.91913890838623</v>
      </c>
      <c r="G419" s="47">
        <v>414</v>
      </c>
      <c r="H419" s="47">
        <v>8446.7080000000005</v>
      </c>
      <c r="I419" s="47">
        <v>18</v>
      </c>
      <c r="J419" s="47">
        <v>13393.593000000001</v>
      </c>
      <c r="K419" s="47">
        <v>8</v>
      </c>
      <c r="L419" s="47">
        <v>16.901962280273438</v>
      </c>
      <c r="M419" s="47">
        <v>8</v>
      </c>
    </row>
    <row r="420" spans="2:13">
      <c r="B420" s="47">
        <v>18</v>
      </c>
      <c r="C420" s="47">
        <v>8346.3860000000004</v>
      </c>
      <c r="D420" s="47">
        <v>12073.227000000001</v>
      </c>
      <c r="E420" s="47">
        <v>12.365097045898438</v>
      </c>
      <c r="G420" s="47">
        <v>415</v>
      </c>
      <c r="H420" s="47">
        <v>8447.384</v>
      </c>
      <c r="I420" s="47">
        <v>20</v>
      </c>
      <c r="J420" s="47">
        <v>13394.826999999999</v>
      </c>
      <c r="K420" s="47">
        <v>8</v>
      </c>
      <c r="L420" s="47">
        <v>16.90667724609375</v>
      </c>
      <c r="M420" s="47">
        <v>12</v>
      </c>
    </row>
    <row r="421" spans="2:13">
      <c r="B421" s="47">
        <v>18</v>
      </c>
      <c r="C421" s="47">
        <v>8665.6290000000008</v>
      </c>
      <c r="D421" s="47">
        <v>11681.581</v>
      </c>
      <c r="E421" s="47">
        <v>12.680577278137207</v>
      </c>
      <c r="G421" s="47">
        <v>416</v>
      </c>
      <c r="H421" s="47">
        <v>8448.2780000000002</v>
      </c>
      <c r="I421" s="47">
        <v>18</v>
      </c>
      <c r="J421" s="47">
        <v>13395.173000000001</v>
      </c>
      <c r="K421" s="47">
        <v>12</v>
      </c>
      <c r="L421" s="47">
        <v>16.924320220947266</v>
      </c>
      <c r="M421" s="47">
        <v>12</v>
      </c>
    </row>
    <row r="422" spans="2:13">
      <c r="B422" s="47">
        <v>18</v>
      </c>
      <c r="C422" s="47">
        <v>8446.7080000000005</v>
      </c>
      <c r="D422" s="47">
        <v>11447.975</v>
      </c>
      <c r="E422" s="47">
        <v>13.023520469665527</v>
      </c>
      <c r="G422" s="47">
        <v>417</v>
      </c>
      <c r="H422" s="47">
        <v>8448.7389999999996</v>
      </c>
      <c r="I422" s="47">
        <v>18</v>
      </c>
      <c r="J422" s="47">
        <v>13395.777</v>
      </c>
      <c r="K422" s="47">
        <v>8</v>
      </c>
      <c r="L422" s="47">
        <v>16.925691604614258</v>
      </c>
      <c r="M422" s="47">
        <v>10</v>
      </c>
    </row>
    <row r="423" spans="2:13">
      <c r="B423" s="47">
        <v>18</v>
      </c>
      <c r="C423" s="47">
        <v>9102.1749999999993</v>
      </c>
      <c r="D423" s="47">
        <v>11277.529</v>
      </c>
      <c r="E423" s="47">
        <v>11.506749153137207</v>
      </c>
      <c r="G423" s="47">
        <v>418</v>
      </c>
      <c r="H423" s="47">
        <v>8450.4580000000005</v>
      </c>
      <c r="I423" s="47">
        <v>16</v>
      </c>
      <c r="J423" s="47">
        <v>13398.803</v>
      </c>
      <c r="K423" s="47">
        <v>12</v>
      </c>
      <c r="L423" s="47">
        <v>16.926067352294922</v>
      </c>
      <c r="M423" s="47">
        <v>12</v>
      </c>
    </row>
    <row r="424" spans="2:13">
      <c r="B424" s="47">
        <v>18</v>
      </c>
      <c r="C424" s="47">
        <v>8219.9475000000002</v>
      </c>
      <c r="D424" s="47">
        <v>10585.02</v>
      </c>
      <c r="E424" s="47">
        <v>12.077924728393555</v>
      </c>
      <c r="G424" s="47">
        <v>419</v>
      </c>
      <c r="H424" s="47">
        <v>8451.7690000000002</v>
      </c>
      <c r="I424" s="47">
        <v>16</v>
      </c>
      <c r="J424" s="47">
        <v>13404.644</v>
      </c>
      <c r="K424" s="47">
        <v>8</v>
      </c>
      <c r="L424" s="47">
        <v>16.933576583862305</v>
      </c>
      <c r="M424" s="47">
        <v>12</v>
      </c>
    </row>
    <row r="425" spans="2:13">
      <c r="B425" s="47">
        <v>18</v>
      </c>
      <c r="C425" s="47">
        <v>8228.8310000000001</v>
      </c>
      <c r="D425" s="47">
        <v>11884.995999999999</v>
      </c>
      <c r="E425" s="47">
        <v>12.594945907592773</v>
      </c>
      <c r="G425" s="47">
        <v>420</v>
      </c>
      <c r="H425" s="47">
        <v>8451.7999999999993</v>
      </c>
      <c r="I425" s="47">
        <v>20</v>
      </c>
      <c r="J425" s="47">
        <v>13433.573</v>
      </c>
      <c r="K425" s="47">
        <v>8</v>
      </c>
      <c r="L425" s="47">
        <v>16.935911178588867</v>
      </c>
      <c r="M425" s="47">
        <v>8</v>
      </c>
    </row>
    <row r="426" spans="2:13">
      <c r="B426" s="47">
        <v>18</v>
      </c>
      <c r="C426" s="47">
        <v>7960.1205</v>
      </c>
      <c r="D426" s="47">
        <v>12167.803</v>
      </c>
      <c r="E426" s="47">
        <v>12.764886856079102</v>
      </c>
      <c r="G426" s="47">
        <v>421</v>
      </c>
      <c r="H426" s="47">
        <v>8452.7340000000004</v>
      </c>
      <c r="I426" s="47">
        <v>18</v>
      </c>
      <c r="J426" s="47">
        <v>13436.645</v>
      </c>
      <c r="K426" s="47">
        <v>8</v>
      </c>
      <c r="L426" s="47">
        <v>16.952043533325195</v>
      </c>
      <c r="M426" s="47">
        <v>8</v>
      </c>
    </row>
    <row r="427" spans="2:13">
      <c r="B427" s="47">
        <v>18</v>
      </c>
      <c r="C427" s="47">
        <v>8208.2975000000006</v>
      </c>
      <c r="D427" s="47">
        <v>11040.394</v>
      </c>
      <c r="E427" s="47">
        <v>10.397263526916504</v>
      </c>
      <c r="G427" s="47">
        <v>422</v>
      </c>
      <c r="H427" s="47">
        <v>8456.7980000000007</v>
      </c>
      <c r="I427" s="47">
        <v>18</v>
      </c>
      <c r="J427" s="47">
        <v>13441.851000000001</v>
      </c>
      <c r="K427" s="47">
        <v>10</v>
      </c>
      <c r="L427" s="47">
        <v>16.95789909362793</v>
      </c>
      <c r="M427" s="47">
        <v>8</v>
      </c>
    </row>
    <row r="428" spans="2:13">
      <c r="B428" s="47">
        <v>18</v>
      </c>
      <c r="C428" s="47">
        <v>8221.5069999999996</v>
      </c>
      <c r="D428" s="47">
        <v>10664.909</v>
      </c>
      <c r="E428" s="47">
        <v>10.732308387756348</v>
      </c>
      <c r="G428" s="47">
        <v>423</v>
      </c>
      <c r="H428" s="47">
        <v>8459.1759999999995</v>
      </c>
      <c r="I428" s="47">
        <v>14</v>
      </c>
      <c r="J428" s="47">
        <v>13446.093000000001</v>
      </c>
      <c r="K428" s="47">
        <v>8</v>
      </c>
      <c r="L428" s="47">
        <v>16.957950592041016</v>
      </c>
      <c r="M428" s="47">
        <v>8</v>
      </c>
    </row>
    <row r="429" spans="2:13">
      <c r="B429" s="47">
        <v>18</v>
      </c>
      <c r="C429" s="47">
        <v>8115.2455</v>
      </c>
      <c r="D429" s="47">
        <v>11953.825999999999</v>
      </c>
      <c r="E429" s="47">
        <v>12.119532585144043</v>
      </c>
      <c r="G429" s="47">
        <v>424</v>
      </c>
      <c r="H429" s="47">
        <v>8460.8169999999991</v>
      </c>
      <c r="I429" s="47">
        <v>16</v>
      </c>
      <c r="J429" s="47">
        <v>13446.499</v>
      </c>
      <c r="K429" s="47">
        <v>10</v>
      </c>
      <c r="L429" s="47">
        <v>16.962034225463867</v>
      </c>
      <c r="M429" s="47">
        <v>12</v>
      </c>
    </row>
    <row r="430" spans="2:13">
      <c r="B430" s="47">
        <v>18</v>
      </c>
      <c r="C430" s="47">
        <v>8149.65</v>
      </c>
      <c r="D430" s="47">
        <v>10904.912</v>
      </c>
      <c r="E430" s="47">
        <v>12.017244338989258</v>
      </c>
      <c r="G430" s="47">
        <v>425</v>
      </c>
      <c r="H430" s="47">
        <v>8467.5310000000009</v>
      </c>
      <c r="I430" s="47">
        <v>20</v>
      </c>
      <c r="J430" s="47">
        <v>13451.144</v>
      </c>
      <c r="K430" s="47">
        <v>12</v>
      </c>
      <c r="L430" s="47">
        <v>16.963405609130859</v>
      </c>
      <c r="M430" s="47">
        <v>10</v>
      </c>
    </row>
    <row r="431" spans="2:13">
      <c r="B431" s="47">
        <v>18</v>
      </c>
      <c r="C431" s="47">
        <v>8401.48</v>
      </c>
      <c r="D431" s="47">
        <v>11495.041999999999</v>
      </c>
      <c r="E431" s="47">
        <v>10.888992309570313</v>
      </c>
      <c r="G431" s="47">
        <v>426</v>
      </c>
      <c r="H431" s="47">
        <v>8469.768</v>
      </c>
      <c r="I431" s="47">
        <v>20</v>
      </c>
      <c r="J431" s="47">
        <v>13451.966</v>
      </c>
      <c r="K431" s="47">
        <v>12</v>
      </c>
      <c r="L431" s="47">
        <v>16.968160629272461</v>
      </c>
      <c r="M431" s="47">
        <v>12</v>
      </c>
    </row>
    <row r="432" spans="2:13">
      <c r="B432" s="47">
        <v>18</v>
      </c>
      <c r="C432" s="47">
        <v>7720.375</v>
      </c>
      <c r="D432" s="47">
        <v>12558.018</v>
      </c>
      <c r="E432" s="47">
        <v>12.272363662719727</v>
      </c>
      <c r="G432" s="47">
        <v>427</v>
      </c>
      <c r="H432" s="47">
        <v>8471.0190000000002</v>
      </c>
      <c r="I432" s="47">
        <v>20</v>
      </c>
      <c r="J432" s="47">
        <v>13453.505999999999</v>
      </c>
      <c r="K432" s="47">
        <v>10</v>
      </c>
      <c r="L432" s="47">
        <v>16.972955703735352</v>
      </c>
      <c r="M432" s="47">
        <v>8</v>
      </c>
    </row>
    <row r="433" spans="2:13">
      <c r="B433" s="47">
        <v>18</v>
      </c>
      <c r="C433" s="47">
        <v>7588.0135</v>
      </c>
      <c r="D433" s="47">
        <v>11760.489</v>
      </c>
      <c r="E433" s="47">
        <v>12.460427284240723</v>
      </c>
      <c r="G433" s="47">
        <v>428</v>
      </c>
      <c r="H433" s="47">
        <v>8473.3580000000002</v>
      </c>
      <c r="I433" s="47">
        <v>16</v>
      </c>
      <c r="J433" s="47">
        <v>13457.795</v>
      </c>
      <c r="K433" s="47">
        <v>12</v>
      </c>
      <c r="L433" s="47">
        <v>16.984586715698242</v>
      </c>
      <c r="M433" s="47">
        <v>10</v>
      </c>
    </row>
    <row r="434" spans="2:13">
      <c r="B434" s="47">
        <v>18</v>
      </c>
      <c r="C434" s="47">
        <v>8166.2494999999999</v>
      </c>
      <c r="D434" s="47">
        <v>11115.236000000001</v>
      </c>
      <c r="E434" s="47">
        <v>12.224136352539063</v>
      </c>
      <c r="G434" s="47">
        <v>429</v>
      </c>
      <c r="H434" s="47">
        <v>8474.19</v>
      </c>
      <c r="I434" s="47">
        <v>16</v>
      </c>
      <c r="J434" s="47">
        <v>13464.291999999999</v>
      </c>
      <c r="K434" s="47">
        <v>12</v>
      </c>
      <c r="L434" s="47">
        <v>16.993200302124023</v>
      </c>
      <c r="M434" s="47">
        <v>10</v>
      </c>
    </row>
    <row r="435" spans="2:13">
      <c r="B435" s="47">
        <v>18</v>
      </c>
      <c r="C435" s="47">
        <v>8091.2044999999998</v>
      </c>
      <c r="D435" s="47">
        <v>11392.88</v>
      </c>
      <c r="E435" s="47">
        <v>10.64467716217041</v>
      </c>
      <c r="G435" s="47">
        <v>430</v>
      </c>
      <c r="H435" s="47">
        <v>8480.9030000000002</v>
      </c>
      <c r="I435" s="47">
        <v>18</v>
      </c>
      <c r="J435" s="47">
        <v>13464.898999999999</v>
      </c>
      <c r="K435" s="47">
        <v>10</v>
      </c>
      <c r="L435" s="47">
        <v>16.997203826904297</v>
      </c>
      <c r="M435" s="47">
        <v>10</v>
      </c>
    </row>
    <row r="436" spans="2:13">
      <c r="B436" s="47">
        <v>18</v>
      </c>
      <c r="C436" s="47">
        <v>8041.1109999999999</v>
      </c>
      <c r="D436" s="47">
        <v>10887.987999999999</v>
      </c>
      <c r="E436" s="47">
        <v>11.220614433288574</v>
      </c>
      <c r="G436" s="47">
        <v>431</v>
      </c>
      <c r="H436" s="47">
        <v>8482.3809999999994</v>
      </c>
      <c r="I436" s="47">
        <v>18</v>
      </c>
      <c r="J436" s="47">
        <v>13480.195</v>
      </c>
      <c r="K436" s="47">
        <v>12</v>
      </c>
      <c r="L436" s="47">
        <v>17.01945686340332</v>
      </c>
      <c r="M436" s="47">
        <v>8</v>
      </c>
    </row>
    <row r="437" spans="2:13">
      <c r="B437" s="47">
        <v>18</v>
      </c>
      <c r="C437" s="47">
        <v>7774.1360000000004</v>
      </c>
      <c r="D437" s="47">
        <v>12834.36</v>
      </c>
      <c r="E437" s="47">
        <v>13.238157272338867</v>
      </c>
      <c r="G437" s="47">
        <v>432</v>
      </c>
      <c r="H437" s="47">
        <v>8489.009</v>
      </c>
      <c r="I437" s="47">
        <v>18</v>
      </c>
      <c r="J437" s="47">
        <v>13480.325999999999</v>
      </c>
      <c r="K437" s="47">
        <v>12</v>
      </c>
      <c r="L437" s="47">
        <v>17.059852600097656</v>
      </c>
      <c r="M437" s="47">
        <v>12</v>
      </c>
    </row>
    <row r="438" spans="2:13">
      <c r="B438" s="47">
        <v>18</v>
      </c>
      <c r="C438" s="47">
        <v>8082.1424999999999</v>
      </c>
      <c r="D438" s="47">
        <v>10472.677</v>
      </c>
      <c r="E438" s="47">
        <v>11.390932083129883</v>
      </c>
      <c r="G438" s="47">
        <v>433</v>
      </c>
      <c r="H438" s="47">
        <v>8492.3189999999995</v>
      </c>
      <c r="I438" s="47">
        <v>20</v>
      </c>
      <c r="J438" s="47">
        <v>13481.324000000001</v>
      </c>
      <c r="K438" s="47">
        <v>12</v>
      </c>
      <c r="L438" s="47">
        <v>17.068939208984375</v>
      </c>
      <c r="M438" s="47">
        <v>10</v>
      </c>
    </row>
    <row r="439" spans="2:13">
      <c r="B439" s="47">
        <v>18</v>
      </c>
      <c r="C439" s="47">
        <v>8366.4295000000002</v>
      </c>
      <c r="D439" s="47">
        <v>11142.665000000001</v>
      </c>
      <c r="E439" s="47">
        <v>11.569378852844238</v>
      </c>
      <c r="G439" s="47">
        <v>434</v>
      </c>
      <c r="H439" s="47">
        <v>8512.2909999999993</v>
      </c>
      <c r="I439" s="47">
        <v>16</v>
      </c>
      <c r="J439" s="47">
        <v>13482.441999999999</v>
      </c>
      <c r="K439" s="47">
        <v>12</v>
      </c>
      <c r="L439" s="47">
        <v>17.080522537231445</v>
      </c>
      <c r="M439" s="47">
        <v>10</v>
      </c>
    </row>
    <row r="440" spans="2:13">
      <c r="B440" s="47">
        <v>18</v>
      </c>
      <c r="C440" s="47">
        <v>8023.8474999999999</v>
      </c>
      <c r="D440" s="47">
        <v>11791.772999999999</v>
      </c>
      <c r="E440" s="47">
        <v>12.918580055236816</v>
      </c>
      <c r="G440" s="47">
        <v>435</v>
      </c>
      <c r="H440" s="47">
        <v>8512.8919999999998</v>
      </c>
      <c r="I440" s="47">
        <v>18</v>
      </c>
      <c r="J440" s="47">
        <v>13485.32</v>
      </c>
      <c r="K440" s="47">
        <v>8</v>
      </c>
      <c r="L440" s="47">
        <v>17.082088470458984</v>
      </c>
      <c r="M440" s="47">
        <v>8</v>
      </c>
    </row>
    <row r="441" spans="2:13">
      <c r="B441" s="47">
        <v>18</v>
      </c>
      <c r="C441" s="47">
        <v>7822.5635000000002</v>
      </c>
      <c r="D441" s="47">
        <v>11836.364</v>
      </c>
      <c r="E441" s="47">
        <v>14.03359317779541</v>
      </c>
      <c r="G441" s="47">
        <v>436</v>
      </c>
      <c r="H441" s="47">
        <v>8524.4330000000009</v>
      </c>
      <c r="I441" s="47">
        <v>16</v>
      </c>
      <c r="J441" s="47">
        <v>13488.882</v>
      </c>
      <c r="K441" s="47">
        <v>12</v>
      </c>
      <c r="L441" s="47">
        <v>17.093143463134766</v>
      </c>
      <c r="M441" s="47">
        <v>12</v>
      </c>
    </row>
    <row r="442" spans="2:13">
      <c r="B442" s="47">
        <v>18</v>
      </c>
      <c r="C442" s="47">
        <v>7897.9409999999998</v>
      </c>
      <c r="D442" s="47">
        <v>10806.300999999999</v>
      </c>
      <c r="E442" s="47">
        <v>13.276176452636719</v>
      </c>
      <c r="G442" s="47">
        <v>437</v>
      </c>
      <c r="H442" s="47">
        <v>8528.5619999999999</v>
      </c>
      <c r="I442" s="47">
        <v>20</v>
      </c>
      <c r="J442" s="47">
        <v>13500.161</v>
      </c>
      <c r="K442" s="47">
        <v>8</v>
      </c>
      <c r="L442" s="47">
        <v>17.095939636230469</v>
      </c>
      <c r="M442" s="47">
        <v>8</v>
      </c>
    </row>
    <row r="443" spans="2:13">
      <c r="B443" s="47">
        <v>18</v>
      </c>
      <c r="C443" s="47">
        <v>7860.9870000000001</v>
      </c>
      <c r="D443" s="47">
        <v>12219.700999999999</v>
      </c>
      <c r="E443" s="47">
        <v>13.473003387451172</v>
      </c>
      <c r="G443" s="47">
        <v>438</v>
      </c>
      <c r="H443" s="47">
        <v>8533.6200000000008</v>
      </c>
      <c r="I443" s="47">
        <v>18</v>
      </c>
      <c r="J443" s="47">
        <v>13501.972</v>
      </c>
      <c r="K443" s="47">
        <v>8</v>
      </c>
      <c r="L443" s="47">
        <v>17.10887336730957</v>
      </c>
      <c r="M443" s="47">
        <v>8</v>
      </c>
    </row>
    <row r="444" spans="2:13">
      <c r="B444" s="47">
        <v>18</v>
      </c>
      <c r="C444" s="47">
        <v>8133.8924999999999</v>
      </c>
      <c r="D444" s="47">
        <v>11814.295</v>
      </c>
      <c r="E444" s="47">
        <v>10.312351226806641</v>
      </c>
      <c r="G444" s="47">
        <v>439</v>
      </c>
      <c r="H444" s="47">
        <v>8537.1939999999995</v>
      </c>
      <c r="I444" s="47">
        <v>14</v>
      </c>
      <c r="J444" s="47">
        <v>13510.675999999999</v>
      </c>
      <c r="K444" s="47">
        <v>10</v>
      </c>
      <c r="L444" s="47">
        <v>17.109350204467773</v>
      </c>
      <c r="M444" s="47">
        <v>12</v>
      </c>
    </row>
    <row r="445" spans="2:13">
      <c r="B445" s="47">
        <v>18</v>
      </c>
      <c r="C445" s="47">
        <v>7975.643</v>
      </c>
      <c r="D445" s="47">
        <v>11611.392</v>
      </c>
      <c r="E445" s="47">
        <v>11.418981552124023</v>
      </c>
      <c r="G445" s="47">
        <v>440</v>
      </c>
      <c r="H445" s="47">
        <v>8551.7099999999991</v>
      </c>
      <c r="I445" s="47">
        <v>18</v>
      </c>
      <c r="J445" s="47">
        <v>13511.562</v>
      </c>
      <c r="K445" s="47">
        <v>8</v>
      </c>
      <c r="L445" s="47">
        <v>17.109443664550781</v>
      </c>
      <c r="M445" s="47">
        <v>10</v>
      </c>
    </row>
    <row r="446" spans="2:13">
      <c r="B446" s="47">
        <v>18</v>
      </c>
      <c r="C446" s="47">
        <v>7972.1035000000002</v>
      </c>
      <c r="D446" s="47">
        <v>11400.709000000001</v>
      </c>
      <c r="E446" s="47">
        <v>12.380829811096191</v>
      </c>
      <c r="G446" s="47">
        <v>441</v>
      </c>
      <c r="H446" s="47">
        <v>8556.1790000000001</v>
      </c>
      <c r="I446" s="47">
        <v>16</v>
      </c>
      <c r="J446" s="47">
        <v>13512.657999999999</v>
      </c>
      <c r="K446" s="47">
        <v>12</v>
      </c>
      <c r="L446" s="47">
        <v>17.110382080078125</v>
      </c>
      <c r="M446" s="47">
        <v>10</v>
      </c>
    </row>
    <row r="447" spans="2:13">
      <c r="B447" s="47">
        <v>18</v>
      </c>
      <c r="C447" s="47">
        <v>8456.7980000000007</v>
      </c>
      <c r="D447" s="47">
        <v>10913.678</v>
      </c>
      <c r="E447" s="47">
        <v>11.430893898010254</v>
      </c>
      <c r="G447" s="47">
        <v>442</v>
      </c>
      <c r="H447" s="47">
        <v>8557.2070000000003</v>
      </c>
      <c r="I447" s="47">
        <v>20</v>
      </c>
      <c r="J447" s="47">
        <v>13522.259</v>
      </c>
      <c r="K447" s="47">
        <v>8</v>
      </c>
      <c r="L447" s="47">
        <v>17.117164611816406</v>
      </c>
      <c r="M447" s="47">
        <v>12</v>
      </c>
    </row>
    <row r="448" spans="2:13">
      <c r="B448" s="47">
        <v>18</v>
      </c>
      <c r="C448" s="47">
        <v>8118.8275000000003</v>
      </c>
      <c r="D448" s="47">
        <v>11244.69</v>
      </c>
      <c r="E448" s="47">
        <v>12.617484092712402</v>
      </c>
      <c r="G448" s="47">
        <v>443</v>
      </c>
      <c r="H448" s="47">
        <v>8559.884</v>
      </c>
      <c r="I448" s="47">
        <v>20</v>
      </c>
      <c r="J448" s="47">
        <v>13527.37</v>
      </c>
      <c r="K448" s="47">
        <v>10</v>
      </c>
      <c r="L448" s="47">
        <v>17.119533538818359</v>
      </c>
      <c r="M448" s="47">
        <v>10</v>
      </c>
    </row>
    <row r="449" spans="2:13">
      <c r="B449" s="47">
        <v>18</v>
      </c>
      <c r="C449" s="47">
        <v>8303.1090000000004</v>
      </c>
      <c r="D449" s="47">
        <v>12080.422</v>
      </c>
      <c r="E449" s="47">
        <v>12.691671371459961</v>
      </c>
      <c r="G449" s="47">
        <v>444</v>
      </c>
      <c r="H449" s="47">
        <v>8570.3829999999998</v>
      </c>
      <c r="I449" s="47">
        <v>20</v>
      </c>
      <c r="J449" s="47">
        <v>13532.976000000001</v>
      </c>
      <c r="K449" s="47">
        <v>12</v>
      </c>
      <c r="L449" s="47">
        <v>17.141244888305664</v>
      </c>
      <c r="M449" s="47">
        <v>8</v>
      </c>
    </row>
    <row r="450" spans="2:13">
      <c r="B450" s="47">
        <v>18</v>
      </c>
      <c r="C450" s="47">
        <v>8489.009</v>
      </c>
      <c r="D450" s="47">
        <v>11879.173000000001</v>
      </c>
      <c r="E450" s="47">
        <v>13.679931640625</v>
      </c>
      <c r="G450" s="47">
        <v>445</v>
      </c>
      <c r="H450" s="47">
        <v>8589.1630000000005</v>
      </c>
      <c r="I450" s="47">
        <v>18</v>
      </c>
      <c r="J450" s="47">
        <v>13533.677</v>
      </c>
      <c r="K450" s="47">
        <v>10</v>
      </c>
      <c r="L450" s="47">
        <v>17.147943496704102</v>
      </c>
      <c r="M450" s="47">
        <v>12</v>
      </c>
    </row>
    <row r="451" spans="2:13">
      <c r="B451" s="47">
        <v>18</v>
      </c>
      <c r="C451" s="47">
        <v>8356.4495000000006</v>
      </c>
      <c r="D451" s="47">
        <v>11811.682000000001</v>
      </c>
      <c r="E451" s="47">
        <v>12.973063468933105</v>
      </c>
      <c r="G451" s="47">
        <v>446</v>
      </c>
      <c r="H451" s="47">
        <v>8590.4979999999996</v>
      </c>
      <c r="I451" s="47">
        <v>20</v>
      </c>
      <c r="J451" s="47">
        <v>13537.263000000001</v>
      </c>
      <c r="K451" s="47">
        <v>10</v>
      </c>
      <c r="L451" s="47">
        <v>17.158962249755859</v>
      </c>
      <c r="M451" s="47">
        <v>14</v>
      </c>
    </row>
    <row r="452" spans="2:13">
      <c r="B452" s="47">
        <v>18</v>
      </c>
      <c r="C452" s="47">
        <v>7918.5225</v>
      </c>
      <c r="D452" s="47">
        <v>10652.987999999999</v>
      </c>
      <c r="E452" s="47">
        <v>11.36501407623291</v>
      </c>
      <c r="G452" s="47">
        <v>447</v>
      </c>
      <c r="H452" s="47">
        <v>8591.4539999999997</v>
      </c>
      <c r="I452" s="47">
        <v>16</v>
      </c>
      <c r="J452" s="47">
        <v>13540.02</v>
      </c>
      <c r="K452" s="47">
        <v>8</v>
      </c>
      <c r="L452" s="47">
        <v>17.165313720703125</v>
      </c>
      <c r="M452" s="47">
        <v>10</v>
      </c>
    </row>
    <row r="453" spans="2:13">
      <c r="B453" s="47">
        <v>18</v>
      </c>
      <c r="C453" s="47">
        <v>7853.7254999999996</v>
      </c>
      <c r="D453" s="47">
        <v>11452.532999999999</v>
      </c>
      <c r="E453" s="47">
        <v>11.49229621887207</v>
      </c>
      <c r="G453" s="47">
        <v>448</v>
      </c>
      <c r="H453" s="47">
        <v>8608.0079999999998</v>
      </c>
      <c r="I453" s="47">
        <v>16</v>
      </c>
      <c r="J453" s="47">
        <v>13543.278</v>
      </c>
      <c r="K453" s="47">
        <v>8</v>
      </c>
      <c r="L453" s="47">
        <v>17.165506362915039</v>
      </c>
      <c r="M453" s="47">
        <v>10</v>
      </c>
    </row>
    <row r="454" spans="2:13">
      <c r="B454" s="47">
        <v>18</v>
      </c>
      <c r="C454" s="47">
        <v>8040.4274999999998</v>
      </c>
      <c r="D454" s="47">
        <v>11193.681</v>
      </c>
      <c r="E454" s="47">
        <v>11.9832763671875</v>
      </c>
      <c r="G454" s="47">
        <v>449</v>
      </c>
      <c r="H454" s="47">
        <v>8633.7919999999995</v>
      </c>
      <c r="I454" s="47">
        <v>20</v>
      </c>
      <c r="J454" s="47">
        <v>13544.449000000001</v>
      </c>
      <c r="K454" s="47">
        <v>8</v>
      </c>
      <c r="L454" s="47">
        <v>17.171098709106445</v>
      </c>
      <c r="M454" s="47">
        <v>8</v>
      </c>
    </row>
    <row r="455" spans="2:13">
      <c r="B455" s="47">
        <v>18</v>
      </c>
      <c r="C455" s="47">
        <v>8071.6880000000001</v>
      </c>
      <c r="D455" s="47">
        <v>12508.331</v>
      </c>
      <c r="E455" s="47">
        <v>11.862974166870117</v>
      </c>
      <c r="G455" s="47">
        <v>450</v>
      </c>
      <c r="H455" s="47">
        <v>8643.0540000000001</v>
      </c>
      <c r="I455" s="47">
        <v>20</v>
      </c>
      <c r="J455" s="47">
        <v>13544.734</v>
      </c>
      <c r="K455" s="47">
        <v>12</v>
      </c>
      <c r="L455" s="47">
        <v>17.172220230102539</v>
      </c>
      <c r="M455" s="47">
        <v>10</v>
      </c>
    </row>
    <row r="456" spans="2:13">
      <c r="B456" s="47">
        <v>20</v>
      </c>
      <c r="C456" s="47">
        <v>8818.0010000000002</v>
      </c>
      <c r="D456" s="47">
        <v>10913.648999999999</v>
      </c>
      <c r="E456" s="47">
        <v>10.327005386352539</v>
      </c>
      <c r="G456" s="47">
        <v>451</v>
      </c>
      <c r="H456" s="47">
        <v>8643.2180000000008</v>
      </c>
      <c r="I456" s="47">
        <v>14</v>
      </c>
      <c r="J456" s="47">
        <v>13552.093999999999</v>
      </c>
      <c r="K456" s="47">
        <v>10</v>
      </c>
      <c r="L456" s="47">
        <v>17.178981781005859</v>
      </c>
      <c r="M456" s="47">
        <v>12</v>
      </c>
    </row>
    <row r="457" spans="2:13">
      <c r="B457" s="47">
        <v>20</v>
      </c>
      <c r="C457" s="47">
        <v>9030.8670000000002</v>
      </c>
      <c r="D457" s="47">
        <v>11496.522000000001</v>
      </c>
      <c r="E457" s="47">
        <v>11.76596736907959</v>
      </c>
      <c r="G457" s="47">
        <v>452</v>
      </c>
      <c r="H457" s="47">
        <v>8653.107</v>
      </c>
      <c r="I457" s="47">
        <v>20</v>
      </c>
      <c r="J457" s="47">
        <v>13575.35</v>
      </c>
      <c r="K457" s="47">
        <v>10</v>
      </c>
      <c r="L457" s="47">
        <v>17.18211555480957</v>
      </c>
      <c r="M457" s="47">
        <v>12</v>
      </c>
    </row>
    <row r="458" spans="2:13">
      <c r="B458" s="47">
        <v>20</v>
      </c>
      <c r="C458" s="47">
        <v>8447.384</v>
      </c>
      <c r="D458" s="47">
        <v>10578.025</v>
      </c>
      <c r="E458" s="47">
        <v>9.6740264892578125</v>
      </c>
      <c r="G458" s="47">
        <v>453</v>
      </c>
      <c r="H458" s="47">
        <v>8655.5169999999998</v>
      </c>
      <c r="I458" s="47">
        <v>16</v>
      </c>
      <c r="J458" s="47">
        <v>13579.243</v>
      </c>
      <c r="K458" s="47">
        <v>10</v>
      </c>
      <c r="L458" s="47">
        <v>17.182989120483398</v>
      </c>
      <c r="M458" s="47">
        <v>8</v>
      </c>
    </row>
    <row r="459" spans="2:13">
      <c r="B459" s="47">
        <v>20</v>
      </c>
      <c r="C459" s="47">
        <v>8876.8379999999997</v>
      </c>
      <c r="D459" s="47">
        <v>10334.153</v>
      </c>
      <c r="E459" s="47">
        <v>9.7483768463134766</v>
      </c>
      <c r="G459" s="47">
        <v>454</v>
      </c>
      <c r="H459" s="47">
        <v>8655.7440000000006</v>
      </c>
      <c r="I459" s="47">
        <v>18</v>
      </c>
      <c r="J459" s="47">
        <v>13581.291999999999</v>
      </c>
      <c r="K459" s="47">
        <v>8</v>
      </c>
      <c r="L459" s="47">
        <v>17.184160232543945</v>
      </c>
      <c r="M459" s="47">
        <v>8</v>
      </c>
    </row>
    <row r="460" spans="2:13">
      <c r="B460" s="47">
        <v>20</v>
      </c>
      <c r="C460" s="47">
        <v>8399.268</v>
      </c>
      <c r="D460" s="47">
        <v>10686.388999999999</v>
      </c>
      <c r="E460" s="47">
        <v>11.027270317077637</v>
      </c>
      <c r="G460" s="47">
        <v>455</v>
      </c>
      <c r="H460" s="47">
        <v>8656.6949999999997</v>
      </c>
      <c r="I460" s="47">
        <v>16</v>
      </c>
      <c r="J460" s="47">
        <v>13592.626</v>
      </c>
      <c r="K460" s="47">
        <v>12</v>
      </c>
      <c r="L460" s="47">
        <v>17.200820922851563</v>
      </c>
      <c r="M460" s="47">
        <v>10</v>
      </c>
    </row>
    <row r="461" spans="2:13">
      <c r="B461" s="47">
        <v>20</v>
      </c>
      <c r="C461" s="47">
        <v>8175.2664999999997</v>
      </c>
      <c r="D461" s="47">
        <v>10833.503000000001</v>
      </c>
      <c r="E461" s="47">
        <v>10.628192901611328</v>
      </c>
      <c r="G461" s="47">
        <v>456</v>
      </c>
      <c r="H461" s="47">
        <v>8665.4860000000008</v>
      </c>
      <c r="I461" s="47">
        <v>20</v>
      </c>
      <c r="J461" s="47">
        <v>13597.291999999999</v>
      </c>
      <c r="K461" s="47">
        <v>10</v>
      </c>
      <c r="L461" s="47">
        <v>17.201421737670898</v>
      </c>
      <c r="M461" s="47">
        <v>10</v>
      </c>
    </row>
    <row r="462" spans="2:13">
      <c r="B462" s="47">
        <v>20</v>
      </c>
      <c r="C462" s="47">
        <v>8170.0254999999997</v>
      </c>
      <c r="D462" s="47">
        <v>10599.099</v>
      </c>
      <c r="E462" s="47">
        <v>10.481094360351563</v>
      </c>
      <c r="G462" s="47">
        <v>457</v>
      </c>
      <c r="H462" s="47">
        <v>8665.6290000000008</v>
      </c>
      <c r="I462" s="47">
        <v>18</v>
      </c>
      <c r="J462" s="47">
        <v>13598.565000000001</v>
      </c>
      <c r="K462" s="47">
        <v>12</v>
      </c>
      <c r="L462" s="47">
        <v>17.209516525268555</v>
      </c>
      <c r="M462" s="47">
        <v>8</v>
      </c>
    </row>
    <row r="463" spans="2:13">
      <c r="B463" s="47">
        <v>20</v>
      </c>
      <c r="C463" s="47">
        <v>9090.8520000000008</v>
      </c>
      <c r="D463" s="47">
        <v>11379.162</v>
      </c>
      <c r="E463" s="47">
        <v>10.292530059814453</v>
      </c>
      <c r="G463" s="47">
        <v>458</v>
      </c>
      <c r="H463" s="47">
        <v>8667.7729999999992</v>
      </c>
      <c r="I463" s="47">
        <v>20</v>
      </c>
      <c r="J463" s="47">
        <v>13600.001</v>
      </c>
      <c r="K463" s="47">
        <v>10</v>
      </c>
      <c r="L463" s="47">
        <v>17.210962295532227</v>
      </c>
      <c r="M463" s="47">
        <v>12</v>
      </c>
    </row>
    <row r="464" spans="2:13">
      <c r="B464" s="47">
        <v>20</v>
      </c>
      <c r="C464" s="47">
        <v>8471.0190000000002</v>
      </c>
      <c r="D464" s="47">
        <v>11004.118</v>
      </c>
      <c r="E464" s="47">
        <v>10.859994888305664</v>
      </c>
      <c r="G464" s="47">
        <v>459</v>
      </c>
      <c r="H464" s="47">
        <v>8668.2860000000001</v>
      </c>
      <c r="I464" s="47">
        <v>14</v>
      </c>
      <c r="J464" s="47">
        <v>13606.163</v>
      </c>
      <c r="K464" s="47">
        <v>10</v>
      </c>
      <c r="L464" s="47">
        <v>17.211360931396484</v>
      </c>
      <c r="M464" s="47">
        <v>10</v>
      </c>
    </row>
    <row r="465" spans="2:13">
      <c r="B465" s="47">
        <v>20</v>
      </c>
      <c r="C465" s="47">
        <v>8187.067</v>
      </c>
      <c r="D465" s="47">
        <v>10696.486000000001</v>
      </c>
      <c r="E465" s="47">
        <v>11.764962196350098</v>
      </c>
      <c r="G465" s="47">
        <v>460</v>
      </c>
      <c r="H465" s="47">
        <v>8683.5159999999996</v>
      </c>
      <c r="I465" s="47">
        <v>18</v>
      </c>
      <c r="J465" s="47">
        <v>13607.323</v>
      </c>
      <c r="K465" s="47">
        <v>8</v>
      </c>
      <c r="L465" s="47">
        <v>17.227210998535156</v>
      </c>
      <c r="M465" s="47">
        <v>8</v>
      </c>
    </row>
    <row r="466" spans="2:13">
      <c r="B466" s="47">
        <v>20</v>
      </c>
      <c r="C466" s="47">
        <v>8779.8619999999992</v>
      </c>
      <c r="D466" s="47">
        <v>10864.152</v>
      </c>
      <c r="E466" s="47">
        <v>10.527604103088379</v>
      </c>
      <c r="G466" s="47">
        <v>461</v>
      </c>
      <c r="H466" s="47">
        <v>8684.5239999999994</v>
      </c>
      <c r="I466" s="47">
        <v>18</v>
      </c>
      <c r="J466" s="47">
        <v>13607.352999999999</v>
      </c>
      <c r="K466" s="47">
        <v>8</v>
      </c>
      <c r="L466" s="47">
        <v>17.231103897094727</v>
      </c>
      <c r="M466" s="47">
        <v>8</v>
      </c>
    </row>
    <row r="467" spans="2:13">
      <c r="B467" s="47">
        <v>20</v>
      </c>
      <c r="C467" s="47">
        <v>8821.8619999999992</v>
      </c>
      <c r="D467" s="47">
        <v>10081.438</v>
      </c>
      <c r="E467" s="47">
        <v>10.733250617980957</v>
      </c>
      <c r="G467" s="47">
        <v>462</v>
      </c>
      <c r="H467" s="47">
        <v>8684.5779999999995</v>
      </c>
      <c r="I467" s="47">
        <v>20</v>
      </c>
      <c r="J467" s="47">
        <v>13610.013999999999</v>
      </c>
      <c r="K467" s="47">
        <v>12</v>
      </c>
      <c r="L467" s="47">
        <v>17.233301162719727</v>
      </c>
      <c r="M467" s="47">
        <v>10</v>
      </c>
    </row>
    <row r="468" spans="2:13">
      <c r="B468" s="47">
        <v>20</v>
      </c>
      <c r="C468" s="47">
        <v>8870.7739999999994</v>
      </c>
      <c r="D468" s="47">
        <v>11369.629000000001</v>
      </c>
      <c r="E468" s="47">
        <v>11.895634651184082</v>
      </c>
      <c r="G468" s="47">
        <v>463</v>
      </c>
      <c r="H468" s="47">
        <v>8694.4439999999995</v>
      </c>
      <c r="I468" s="47">
        <v>20</v>
      </c>
      <c r="J468" s="47">
        <v>13620.55</v>
      </c>
      <c r="K468" s="47">
        <v>10</v>
      </c>
      <c r="L468" s="47">
        <v>17.235904693603516</v>
      </c>
      <c r="M468" s="47">
        <v>10</v>
      </c>
    </row>
    <row r="469" spans="2:13">
      <c r="B469" s="47">
        <v>20</v>
      </c>
      <c r="C469" s="47">
        <v>8665.4860000000008</v>
      </c>
      <c r="D469" s="47">
        <v>11212.210999999999</v>
      </c>
      <c r="E469" s="47">
        <v>11.056553840637207</v>
      </c>
      <c r="G469" s="47">
        <v>464</v>
      </c>
      <c r="H469" s="47">
        <v>8705.9740000000002</v>
      </c>
      <c r="I469" s="47">
        <v>16</v>
      </c>
      <c r="J469" s="47">
        <v>13636.172</v>
      </c>
      <c r="K469" s="47">
        <v>8</v>
      </c>
      <c r="L469" s="47">
        <v>17.249366760253906</v>
      </c>
      <c r="M469" s="47">
        <v>8</v>
      </c>
    </row>
    <row r="470" spans="2:13">
      <c r="B470" s="47">
        <v>20</v>
      </c>
      <c r="C470" s="47">
        <v>8570.3829999999998</v>
      </c>
      <c r="D470" s="47">
        <v>10894.819</v>
      </c>
      <c r="E470" s="47">
        <v>10.859234809875488</v>
      </c>
      <c r="G470" s="47">
        <v>465</v>
      </c>
      <c r="H470" s="47">
        <v>8714.0210000000006</v>
      </c>
      <c r="I470" s="47">
        <v>18</v>
      </c>
      <c r="J470" s="47">
        <v>13638.35</v>
      </c>
      <c r="K470" s="47">
        <v>12</v>
      </c>
      <c r="L470" s="47">
        <v>17.25505256652832</v>
      </c>
      <c r="M470" s="47">
        <v>10</v>
      </c>
    </row>
    <row r="471" spans="2:13">
      <c r="B471" s="47">
        <v>20</v>
      </c>
      <c r="C471" s="47">
        <v>8780.4259999999995</v>
      </c>
      <c r="D471" s="47">
        <v>12423.031999999999</v>
      </c>
      <c r="E471" s="47">
        <v>11.14080810546875</v>
      </c>
      <c r="G471" s="47">
        <v>466</v>
      </c>
      <c r="H471" s="47">
        <v>8716.9040000000005</v>
      </c>
      <c r="I471" s="47">
        <v>18</v>
      </c>
      <c r="J471" s="47">
        <v>13653.915999999999</v>
      </c>
      <c r="K471" s="47">
        <v>10</v>
      </c>
      <c r="L471" s="47">
        <v>17.265625</v>
      </c>
      <c r="M471" s="47">
        <v>8</v>
      </c>
    </row>
    <row r="472" spans="2:13">
      <c r="B472" s="47">
        <v>20</v>
      </c>
      <c r="C472" s="47">
        <v>8408.1859999999997</v>
      </c>
      <c r="D472" s="47">
        <v>11069</v>
      </c>
      <c r="E472" s="47">
        <v>10.547500610351563</v>
      </c>
      <c r="G472" s="47">
        <v>467</v>
      </c>
      <c r="H472" s="47">
        <v>8722.4009999999998</v>
      </c>
      <c r="I472" s="47">
        <v>20</v>
      </c>
      <c r="J472" s="47">
        <v>13662.46</v>
      </c>
      <c r="K472" s="47">
        <v>12</v>
      </c>
      <c r="L472" s="47">
        <v>17.2667236328125</v>
      </c>
      <c r="M472" s="47">
        <v>8</v>
      </c>
    </row>
    <row r="473" spans="2:13">
      <c r="B473" s="47">
        <v>20</v>
      </c>
      <c r="C473" s="47">
        <v>8412.9189999999999</v>
      </c>
      <c r="D473" s="47">
        <v>11036.741</v>
      </c>
      <c r="E473" s="47">
        <v>12.489338874816895</v>
      </c>
      <c r="G473" s="47">
        <v>468</v>
      </c>
      <c r="H473" s="47">
        <v>8724.1110000000008</v>
      </c>
      <c r="I473" s="47">
        <v>20</v>
      </c>
      <c r="J473" s="47">
        <v>13665.522999999999</v>
      </c>
      <c r="K473" s="47">
        <v>10</v>
      </c>
      <c r="L473" s="47">
        <v>17.266748428344727</v>
      </c>
      <c r="M473" s="47">
        <v>8</v>
      </c>
    </row>
    <row r="474" spans="2:13">
      <c r="B474" s="47">
        <v>20</v>
      </c>
      <c r="C474" s="47">
        <v>8467.5310000000009</v>
      </c>
      <c r="D474" s="47">
        <v>11223.037</v>
      </c>
      <c r="E474" s="47">
        <v>11.17795467376709</v>
      </c>
      <c r="G474" s="47">
        <v>469</v>
      </c>
      <c r="H474" s="47">
        <v>8728.2630000000008</v>
      </c>
      <c r="I474" s="47">
        <v>18</v>
      </c>
      <c r="J474" s="47">
        <v>13680.753000000001</v>
      </c>
      <c r="K474" s="47">
        <v>10</v>
      </c>
      <c r="L474" s="47">
        <v>17.27092170715332</v>
      </c>
      <c r="M474" s="47">
        <v>8</v>
      </c>
    </row>
    <row r="475" spans="2:13">
      <c r="B475" s="47">
        <v>20</v>
      </c>
      <c r="C475" s="47">
        <v>8733.8320000000003</v>
      </c>
      <c r="D475" s="47">
        <v>11466.591</v>
      </c>
      <c r="E475" s="47">
        <v>10.372244834899902</v>
      </c>
      <c r="G475" s="47">
        <v>470</v>
      </c>
      <c r="H475" s="47">
        <v>8729.9629999999997</v>
      </c>
      <c r="I475" s="47">
        <v>16</v>
      </c>
      <c r="J475" s="47">
        <v>13684.563</v>
      </c>
      <c r="K475" s="47">
        <v>12</v>
      </c>
      <c r="L475" s="47">
        <v>17.289085388183594</v>
      </c>
      <c r="M475" s="47">
        <v>8</v>
      </c>
    </row>
    <row r="476" spans="2:13">
      <c r="B476" s="47">
        <v>20</v>
      </c>
      <c r="C476" s="47">
        <v>8763.2289999999994</v>
      </c>
      <c r="D476" s="47">
        <v>11999.584999999999</v>
      </c>
      <c r="E476" s="47">
        <v>13.101114273071289</v>
      </c>
      <c r="G476" s="47">
        <v>471</v>
      </c>
      <c r="H476" s="47">
        <v>8730.2420000000002</v>
      </c>
      <c r="I476" s="47">
        <v>20</v>
      </c>
      <c r="J476" s="47">
        <v>13692.834000000001</v>
      </c>
      <c r="K476" s="47">
        <v>10</v>
      </c>
      <c r="L476" s="47">
        <v>17.291040420532227</v>
      </c>
      <c r="M476" s="47">
        <v>8</v>
      </c>
    </row>
    <row r="477" spans="2:13">
      <c r="B477" s="47">
        <v>20</v>
      </c>
      <c r="C477" s="47">
        <v>8731.4330000000009</v>
      </c>
      <c r="D477" s="47">
        <v>11782.627</v>
      </c>
      <c r="E477" s="47">
        <v>12.239339828491211</v>
      </c>
      <c r="G477" s="47">
        <v>472</v>
      </c>
      <c r="H477" s="47">
        <v>8731.4330000000009</v>
      </c>
      <c r="I477" s="47">
        <v>20</v>
      </c>
      <c r="J477" s="47">
        <v>13709.989</v>
      </c>
      <c r="K477" s="47">
        <v>10</v>
      </c>
      <c r="L477" s="47">
        <v>17.293363571166992</v>
      </c>
      <c r="M477" s="47">
        <v>8</v>
      </c>
    </row>
    <row r="478" spans="2:13">
      <c r="B478" s="47">
        <v>20</v>
      </c>
      <c r="C478" s="47">
        <v>8412.6229999999996</v>
      </c>
      <c r="D478" s="47">
        <v>12724.106</v>
      </c>
      <c r="E478" s="47">
        <v>13.332456588745117</v>
      </c>
      <c r="G478" s="47">
        <v>473</v>
      </c>
      <c r="H478" s="47">
        <v>8733.8320000000003</v>
      </c>
      <c r="I478" s="47">
        <v>20</v>
      </c>
      <c r="J478" s="47">
        <v>13713.004999999999</v>
      </c>
      <c r="K478" s="47">
        <v>10</v>
      </c>
      <c r="L478" s="47">
        <v>17.293672561645508</v>
      </c>
      <c r="M478" s="47">
        <v>8</v>
      </c>
    </row>
    <row r="479" spans="2:13">
      <c r="B479" s="47">
        <v>20</v>
      </c>
      <c r="C479" s="47">
        <v>8451.7999999999993</v>
      </c>
      <c r="D479" s="47">
        <v>10984.009</v>
      </c>
      <c r="E479" s="47">
        <v>10.865875244140625</v>
      </c>
      <c r="G479" s="47">
        <v>474</v>
      </c>
      <c r="H479" s="47">
        <v>8736.0990000000002</v>
      </c>
      <c r="I479" s="47">
        <v>18</v>
      </c>
      <c r="J479" s="47">
        <v>13714.049000000001</v>
      </c>
      <c r="K479" s="47">
        <v>8</v>
      </c>
      <c r="L479" s="47">
        <v>17.303129196166992</v>
      </c>
      <c r="M479" s="47">
        <v>10</v>
      </c>
    </row>
    <row r="480" spans="2:13">
      <c r="B480" s="47">
        <v>20</v>
      </c>
      <c r="C480" s="47">
        <v>8193.3240000000005</v>
      </c>
      <c r="D480" s="47">
        <v>11182.811</v>
      </c>
      <c r="E480" s="47">
        <v>10.41545581817627</v>
      </c>
      <c r="G480" s="47">
        <v>475</v>
      </c>
      <c r="H480" s="47">
        <v>8752.4040000000005</v>
      </c>
      <c r="I480" s="47">
        <v>16</v>
      </c>
      <c r="J480" s="47">
        <v>13717.191000000001</v>
      </c>
      <c r="K480" s="47">
        <v>8</v>
      </c>
      <c r="L480" s="47">
        <v>17.303516387939453</v>
      </c>
      <c r="M480" s="47">
        <v>10</v>
      </c>
    </row>
    <row r="481" spans="2:13">
      <c r="B481" s="47">
        <v>20</v>
      </c>
      <c r="C481" s="47">
        <v>8684.5779999999995</v>
      </c>
      <c r="D481" s="47">
        <v>10992.638000000001</v>
      </c>
      <c r="E481" s="47">
        <v>11.070590019226074</v>
      </c>
      <c r="G481" s="47">
        <v>476</v>
      </c>
      <c r="H481" s="47">
        <v>8756.7199999999993</v>
      </c>
      <c r="I481" s="47">
        <v>16</v>
      </c>
      <c r="J481" s="47">
        <v>13718.061</v>
      </c>
      <c r="K481" s="47">
        <v>10</v>
      </c>
      <c r="L481" s="47">
        <v>17.305644989013672</v>
      </c>
      <c r="M481" s="47">
        <v>10</v>
      </c>
    </row>
    <row r="482" spans="2:13">
      <c r="B482" s="47">
        <v>20</v>
      </c>
      <c r="C482" s="47">
        <v>8895.6020000000008</v>
      </c>
      <c r="D482" s="47">
        <v>11136.241</v>
      </c>
      <c r="E482" s="47">
        <v>10.584567070007324</v>
      </c>
      <c r="G482" s="47">
        <v>477</v>
      </c>
      <c r="H482" s="47">
        <v>8763.2289999999994</v>
      </c>
      <c r="I482" s="47">
        <v>20</v>
      </c>
      <c r="J482" s="47">
        <v>13727.578</v>
      </c>
      <c r="K482" s="47">
        <v>8</v>
      </c>
      <c r="L482" s="47">
        <v>17.30859375</v>
      </c>
      <c r="M482" s="47">
        <v>10</v>
      </c>
    </row>
    <row r="483" spans="2:13">
      <c r="B483" s="47">
        <v>20</v>
      </c>
      <c r="C483" s="47">
        <v>8400.2819999999992</v>
      </c>
      <c r="D483" s="47">
        <v>12463.029</v>
      </c>
      <c r="E483" s="47">
        <v>11.39936637878418</v>
      </c>
      <c r="G483" s="47">
        <v>478</v>
      </c>
      <c r="H483" s="47">
        <v>8764.6450000000004</v>
      </c>
      <c r="I483" s="47">
        <v>20</v>
      </c>
      <c r="J483" s="47">
        <v>13742.288</v>
      </c>
      <c r="K483" s="47">
        <v>8</v>
      </c>
      <c r="L483" s="47">
        <v>17.309846878051758</v>
      </c>
      <c r="M483" s="47">
        <v>8</v>
      </c>
    </row>
    <row r="484" spans="2:13">
      <c r="B484" s="47">
        <v>20</v>
      </c>
      <c r="C484" s="47">
        <v>8803.2039999999997</v>
      </c>
      <c r="D484" s="47">
        <v>11821.853999999999</v>
      </c>
      <c r="E484" s="47">
        <v>12.90796947479248</v>
      </c>
      <c r="G484" s="47">
        <v>479</v>
      </c>
      <c r="H484" s="47">
        <v>8775.3379999999997</v>
      </c>
      <c r="I484" s="47">
        <v>14</v>
      </c>
      <c r="J484" s="47">
        <v>13744.003000000001</v>
      </c>
      <c r="K484" s="47">
        <v>8</v>
      </c>
      <c r="L484" s="47">
        <v>17.313142776489258</v>
      </c>
      <c r="M484" s="47">
        <v>12</v>
      </c>
    </row>
    <row r="485" spans="2:13">
      <c r="B485" s="47">
        <v>20</v>
      </c>
      <c r="C485" s="47">
        <v>8730.2420000000002</v>
      </c>
      <c r="D485" s="47">
        <v>11793.307000000001</v>
      </c>
      <c r="E485" s="47">
        <v>10.93040657043457</v>
      </c>
      <c r="G485" s="47">
        <v>480</v>
      </c>
      <c r="H485" s="47">
        <v>8779.8619999999992</v>
      </c>
      <c r="I485" s="47">
        <v>20</v>
      </c>
      <c r="J485" s="47">
        <v>13744.11</v>
      </c>
      <c r="K485" s="47">
        <v>8</v>
      </c>
      <c r="L485" s="47">
        <v>17.316106796264648</v>
      </c>
      <c r="M485" s="47">
        <v>8</v>
      </c>
    </row>
    <row r="486" spans="2:13">
      <c r="B486" s="47">
        <v>20</v>
      </c>
      <c r="C486" s="47">
        <v>8782.0609999999997</v>
      </c>
      <c r="D486" s="47">
        <v>11112.736999999999</v>
      </c>
      <c r="E486" s="47">
        <v>12.046049118041992</v>
      </c>
      <c r="G486" s="47">
        <v>481</v>
      </c>
      <c r="H486" s="47">
        <v>8780.4259999999995</v>
      </c>
      <c r="I486" s="47">
        <v>20</v>
      </c>
      <c r="J486" s="47">
        <v>13763.842000000001</v>
      </c>
      <c r="K486" s="47">
        <v>12</v>
      </c>
      <c r="L486" s="47">
        <v>17.318729400634766</v>
      </c>
      <c r="M486" s="47">
        <v>10</v>
      </c>
    </row>
    <row r="487" spans="2:13">
      <c r="B487" s="47">
        <v>20</v>
      </c>
      <c r="C487" s="47">
        <v>9028.2540000000008</v>
      </c>
      <c r="D487" s="47">
        <v>11386.744000000001</v>
      </c>
      <c r="E487" s="47">
        <v>11.244706153869629</v>
      </c>
      <c r="G487" s="47">
        <v>482</v>
      </c>
      <c r="H487" s="47">
        <v>8782.0609999999997</v>
      </c>
      <c r="I487" s="47">
        <v>20</v>
      </c>
      <c r="J487" s="47">
        <v>13770.76</v>
      </c>
      <c r="K487" s="47">
        <v>12</v>
      </c>
      <c r="L487" s="47">
        <v>17.326198577880859</v>
      </c>
      <c r="M487" s="47">
        <v>8</v>
      </c>
    </row>
    <row r="488" spans="2:13">
      <c r="B488" s="47">
        <v>20</v>
      </c>
      <c r="C488" s="47">
        <v>8722.4009999999998</v>
      </c>
      <c r="D488" s="47">
        <v>12374.013000000001</v>
      </c>
      <c r="E488" s="47">
        <v>13.03923511505127</v>
      </c>
      <c r="G488" s="47">
        <v>483</v>
      </c>
      <c r="H488" s="47">
        <v>8790.1589999999997</v>
      </c>
      <c r="I488" s="47">
        <v>20</v>
      </c>
      <c r="J488" s="47">
        <v>13771.268</v>
      </c>
      <c r="K488" s="47">
        <v>14</v>
      </c>
      <c r="L488" s="47">
        <v>17.335199356079102</v>
      </c>
      <c r="M488" s="47">
        <v>8</v>
      </c>
    </row>
    <row r="489" spans="2:13">
      <c r="B489" s="47">
        <v>20</v>
      </c>
      <c r="C489" s="47">
        <v>8643.0540000000001</v>
      </c>
      <c r="D489" s="47">
        <v>10710.21</v>
      </c>
      <c r="E489" s="47">
        <v>10.071426391601563</v>
      </c>
      <c r="G489" s="47">
        <v>484</v>
      </c>
      <c r="H489" s="47">
        <v>8792.875</v>
      </c>
      <c r="I489" s="47">
        <v>16</v>
      </c>
      <c r="J489" s="47">
        <v>13789.163</v>
      </c>
      <c r="K489" s="47">
        <v>10</v>
      </c>
      <c r="L489" s="47">
        <v>17.339971542358398</v>
      </c>
      <c r="M489" s="47">
        <v>8</v>
      </c>
    </row>
    <row r="490" spans="2:13">
      <c r="B490" s="47">
        <v>20</v>
      </c>
      <c r="C490" s="47">
        <v>9156.7540000000008</v>
      </c>
      <c r="D490" s="47">
        <v>10726.272999999999</v>
      </c>
      <c r="E490" s="47">
        <v>10.47556209564209</v>
      </c>
      <c r="G490" s="47">
        <v>485</v>
      </c>
      <c r="H490" s="47">
        <v>8803.2039999999997</v>
      </c>
      <c r="I490" s="47">
        <v>20</v>
      </c>
      <c r="J490" s="47">
        <v>13790.116</v>
      </c>
      <c r="K490" s="47">
        <v>12</v>
      </c>
      <c r="L490" s="47">
        <v>17.342826843261719</v>
      </c>
      <c r="M490" s="47">
        <v>10</v>
      </c>
    </row>
    <row r="491" spans="2:13">
      <c r="B491" s="47">
        <v>20</v>
      </c>
      <c r="C491" s="47">
        <v>8871.652</v>
      </c>
      <c r="D491" s="47">
        <v>11571.634</v>
      </c>
      <c r="E491" s="47">
        <v>11.792746543884277</v>
      </c>
      <c r="G491" s="47">
        <v>486</v>
      </c>
      <c r="H491" s="47">
        <v>8812.0720000000001</v>
      </c>
      <c r="I491" s="47">
        <v>18</v>
      </c>
      <c r="J491" s="47">
        <v>13790.882</v>
      </c>
      <c r="K491" s="47">
        <v>12</v>
      </c>
      <c r="L491" s="47">
        <v>17.353500366210938</v>
      </c>
      <c r="M491" s="47">
        <v>10</v>
      </c>
    </row>
    <row r="492" spans="2:13">
      <c r="B492" s="47">
        <v>20</v>
      </c>
      <c r="C492" s="47">
        <v>9340.0630000000001</v>
      </c>
      <c r="D492" s="47">
        <v>11952.183000000001</v>
      </c>
      <c r="E492" s="47">
        <v>12.529848098754883</v>
      </c>
      <c r="G492" s="47">
        <v>487</v>
      </c>
      <c r="H492" s="47">
        <v>8814.3320000000003</v>
      </c>
      <c r="I492" s="47">
        <v>16</v>
      </c>
      <c r="J492" s="47">
        <v>13793.177</v>
      </c>
      <c r="K492" s="47">
        <v>12</v>
      </c>
      <c r="L492" s="47">
        <v>17.359725952148438</v>
      </c>
      <c r="M492" s="47">
        <v>10</v>
      </c>
    </row>
    <row r="493" spans="2:13">
      <c r="B493" s="47">
        <v>20</v>
      </c>
      <c r="C493" s="47">
        <v>8667.7729999999992</v>
      </c>
      <c r="D493" s="47">
        <v>10629.424999999999</v>
      </c>
      <c r="E493" s="47">
        <v>10.492035865783691</v>
      </c>
      <c r="G493" s="47">
        <v>488</v>
      </c>
      <c r="H493" s="47">
        <v>8818.0010000000002</v>
      </c>
      <c r="I493" s="47">
        <v>20</v>
      </c>
      <c r="J493" s="47">
        <v>13804.867</v>
      </c>
      <c r="K493" s="47">
        <v>10</v>
      </c>
      <c r="L493" s="47">
        <v>17.374002456665039</v>
      </c>
      <c r="M493" s="47">
        <v>8</v>
      </c>
    </row>
    <row r="494" spans="2:13">
      <c r="B494" s="47">
        <v>20</v>
      </c>
      <c r="C494" s="47">
        <v>9188.33</v>
      </c>
      <c r="D494" s="47">
        <v>10499.484</v>
      </c>
      <c r="E494" s="47">
        <v>10.107729911804199</v>
      </c>
      <c r="G494" s="47">
        <v>489</v>
      </c>
      <c r="H494" s="47">
        <v>8821.8619999999992</v>
      </c>
      <c r="I494" s="47">
        <v>20</v>
      </c>
      <c r="J494" s="47">
        <v>13816.027</v>
      </c>
      <c r="K494" s="47">
        <v>10</v>
      </c>
      <c r="L494" s="47">
        <v>17.384355545043945</v>
      </c>
      <c r="M494" s="47">
        <v>10</v>
      </c>
    </row>
    <row r="495" spans="2:13">
      <c r="B495" s="47">
        <v>20</v>
      </c>
      <c r="C495" s="47">
        <v>8948.5750000000007</v>
      </c>
      <c r="D495" s="47">
        <v>11512.828</v>
      </c>
      <c r="E495" s="47">
        <v>11.655497550964355</v>
      </c>
      <c r="G495" s="47">
        <v>490</v>
      </c>
      <c r="H495" s="47">
        <v>8824.6080000000002</v>
      </c>
      <c r="I495" s="47">
        <v>20</v>
      </c>
      <c r="J495" s="47">
        <v>13818.602000000001</v>
      </c>
      <c r="K495" s="47">
        <v>8</v>
      </c>
      <c r="L495" s="47">
        <v>17.384624481201172</v>
      </c>
      <c r="M495" s="47">
        <v>8</v>
      </c>
    </row>
    <row r="496" spans="2:13">
      <c r="B496" s="47">
        <v>20</v>
      </c>
      <c r="C496" s="47">
        <v>8381.7939999999999</v>
      </c>
      <c r="D496" s="47">
        <v>10901.852000000001</v>
      </c>
      <c r="E496" s="47">
        <v>11.787068367004395</v>
      </c>
      <c r="G496" s="47">
        <v>491</v>
      </c>
      <c r="H496" s="47">
        <v>8827.4240000000009</v>
      </c>
      <c r="I496" s="47">
        <v>20</v>
      </c>
      <c r="J496" s="47">
        <v>13819.703</v>
      </c>
      <c r="K496" s="47">
        <v>8</v>
      </c>
      <c r="L496" s="47">
        <v>17.434015274047852</v>
      </c>
      <c r="M496" s="47">
        <v>10</v>
      </c>
    </row>
    <row r="497" spans="2:13">
      <c r="B497" s="47">
        <v>20</v>
      </c>
      <c r="C497" s="47">
        <v>9023.4920000000002</v>
      </c>
      <c r="D497" s="47">
        <v>11408.696</v>
      </c>
      <c r="E497" s="47">
        <v>12.746869087219238</v>
      </c>
      <c r="G497" s="47">
        <v>492</v>
      </c>
      <c r="H497" s="47">
        <v>8839.7549999999992</v>
      </c>
      <c r="I497" s="47">
        <v>16</v>
      </c>
      <c r="J497" s="47">
        <v>13833.516</v>
      </c>
      <c r="K497" s="47">
        <v>10</v>
      </c>
      <c r="L497" s="47">
        <v>17.434244155883789</v>
      </c>
      <c r="M497" s="47">
        <v>8</v>
      </c>
    </row>
    <row r="498" spans="2:13">
      <c r="B498" s="47">
        <v>20</v>
      </c>
      <c r="C498" s="47">
        <v>9148.0249999999996</v>
      </c>
      <c r="D498" s="47">
        <v>12080.102000000001</v>
      </c>
      <c r="E498" s="47">
        <v>13.31362247467041</v>
      </c>
      <c r="G498" s="47">
        <v>493</v>
      </c>
      <c r="H498" s="47">
        <v>8839.8420000000006</v>
      </c>
      <c r="I498" s="47">
        <v>18</v>
      </c>
      <c r="J498" s="47">
        <v>13834.749</v>
      </c>
      <c r="K498" s="47">
        <v>8</v>
      </c>
      <c r="L498" s="47">
        <v>17.447946548461914</v>
      </c>
      <c r="M498" s="47">
        <v>12</v>
      </c>
    </row>
    <row r="499" spans="2:13">
      <c r="B499" s="47">
        <v>20</v>
      </c>
      <c r="C499" s="47">
        <v>8724.1110000000008</v>
      </c>
      <c r="D499" s="47">
        <v>11243.501</v>
      </c>
      <c r="E499" s="47">
        <v>11.381782531738281</v>
      </c>
      <c r="G499" s="47">
        <v>494</v>
      </c>
      <c r="H499" s="47">
        <v>8841.2720000000008</v>
      </c>
      <c r="I499" s="47">
        <v>16</v>
      </c>
      <c r="J499" s="47">
        <v>13835.694</v>
      </c>
      <c r="K499" s="47">
        <v>10</v>
      </c>
      <c r="L499" s="47">
        <v>17.471946716308594</v>
      </c>
      <c r="M499" s="47">
        <v>10</v>
      </c>
    </row>
    <row r="500" spans="2:13">
      <c r="B500" s="47">
        <v>20</v>
      </c>
      <c r="C500" s="47">
        <v>8827.4240000000009</v>
      </c>
      <c r="D500" s="47">
        <v>12229.552</v>
      </c>
      <c r="E500" s="47">
        <v>12.205229759216309</v>
      </c>
      <c r="G500" s="47">
        <v>495</v>
      </c>
      <c r="H500" s="47">
        <v>8842.6769999999997</v>
      </c>
      <c r="I500" s="47">
        <v>20</v>
      </c>
      <c r="J500" s="47">
        <v>13838.075000000001</v>
      </c>
      <c r="K500" s="47">
        <v>10</v>
      </c>
      <c r="L500" s="47">
        <v>17.472908020019531</v>
      </c>
      <c r="M500" s="47">
        <v>10</v>
      </c>
    </row>
    <row r="501" spans="2:13">
      <c r="B501" s="47">
        <v>20</v>
      </c>
      <c r="C501" s="47">
        <v>8764.6450000000004</v>
      </c>
      <c r="D501" s="47">
        <v>11283.663</v>
      </c>
      <c r="E501" s="47">
        <v>11.048103332519531</v>
      </c>
      <c r="G501" s="47">
        <v>496</v>
      </c>
      <c r="H501" s="47">
        <v>8850.2890000000007</v>
      </c>
      <c r="I501" s="47">
        <v>16</v>
      </c>
      <c r="J501" s="47">
        <v>13838.808000000001</v>
      </c>
      <c r="K501" s="47">
        <v>10</v>
      </c>
      <c r="L501" s="47">
        <v>17.481330871582031</v>
      </c>
      <c r="M501" s="47">
        <v>8</v>
      </c>
    </row>
    <row r="502" spans="2:13">
      <c r="B502" s="47">
        <v>20</v>
      </c>
      <c r="C502" s="47">
        <v>9238.6239999999998</v>
      </c>
      <c r="D502" s="47">
        <v>11765.183000000001</v>
      </c>
      <c r="E502" s="47">
        <v>12.054322242736816</v>
      </c>
      <c r="G502" s="47">
        <v>497</v>
      </c>
      <c r="H502" s="47">
        <v>8851.7990000000009</v>
      </c>
      <c r="I502" s="47">
        <v>18</v>
      </c>
      <c r="J502" s="47">
        <v>13871.127</v>
      </c>
      <c r="K502" s="47">
        <v>10</v>
      </c>
      <c r="L502" s="47">
        <v>17.494550704956055</v>
      </c>
      <c r="M502" s="47">
        <v>10</v>
      </c>
    </row>
    <row r="503" spans="2:13">
      <c r="B503" s="47">
        <v>20</v>
      </c>
      <c r="C503" s="47">
        <v>8987.5910000000003</v>
      </c>
      <c r="D503" s="47">
        <v>11743.755999999999</v>
      </c>
      <c r="E503" s="47">
        <v>11.881376266479492</v>
      </c>
      <c r="G503" s="47">
        <v>498</v>
      </c>
      <c r="H503" s="47">
        <v>8854.6990000000005</v>
      </c>
      <c r="I503" s="47">
        <v>18</v>
      </c>
      <c r="J503" s="47">
        <v>13874.834999999999</v>
      </c>
      <c r="K503" s="47">
        <v>12</v>
      </c>
      <c r="L503" s="47">
        <v>17.513036727905273</v>
      </c>
      <c r="M503" s="47">
        <v>8</v>
      </c>
    </row>
    <row r="504" spans="2:13">
      <c r="B504" s="47">
        <v>20</v>
      </c>
      <c r="C504" s="47">
        <v>8694.4439999999995</v>
      </c>
      <c r="D504" s="47">
        <v>11279.358</v>
      </c>
      <c r="E504" s="47">
        <v>11.302172660827637</v>
      </c>
      <c r="G504" s="47">
        <v>499</v>
      </c>
      <c r="H504" s="47">
        <v>8859.0460000000003</v>
      </c>
      <c r="I504" s="47">
        <v>18</v>
      </c>
      <c r="J504" s="47">
        <v>13905.437</v>
      </c>
      <c r="K504" s="47">
        <v>10</v>
      </c>
      <c r="L504" s="47">
        <v>17.51746940612793</v>
      </c>
      <c r="M504" s="47">
        <v>10</v>
      </c>
    </row>
    <row r="505" spans="2:13">
      <c r="B505" s="47">
        <v>20</v>
      </c>
      <c r="C505" s="47">
        <v>9555.4750000000004</v>
      </c>
      <c r="D505" s="47">
        <v>11914.039000000001</v>
      </c>
      <c r="E505" s="47">
        <v>11.87614631652832</v>
      </c>
      <c r="G505" s="47">
        <v>500</v>
      </c>
      <c r="H505" s="47">
        <v>8863.7839999999997</v>
      </c>
      <c r="I505" s="47">
        <v>18</v>
      </c>
      <c r="J505" s="47">
        <v>13915.754999999999</v>
      </c>
      <c r="K505" s="47">
        <v>10</v>
      </c>
      <c r="L505" s="47">
        <v>17.545696258544922</v>
      </c>
      <c r="M505" s="47">
        <v>8</v>
      </c>
    </row>
    <row r="506" spans="2:13">
      <c r="B506" s="47">
        <v>20</v>
      </c>
      <c r="C506" s="47">
        <v>9080.48</v>
      </c>
      <c r="D506" s="47">
        <v>11970.027</v>
      </c>
      <c r="E506" s="47">
        <v>12.995405197143555</v>
      </c>
      <c r="G506" s="47">
        <v>501</v>
      </c>
      <c r="H506" s="47">
        <v>8870.7739999999994</v>
      </c>
      <c r="I506" s="47">
        <v>20</v>
      </c>
      <c r="J506" s="47">
        <v>13917.136</v>
      </c>
      <c r="K506" s="47">
        <v>8</v>
      </c>
      <c r="L506" s="47">
        <v>17.550369262695313</v>
      </c>
      <c r="M506" s="47">
        <v>8</v>
      </c>
    </row>
    <row r="507" spans="2:13">
      <c r="B507" s="47">
        <v>20</v>
      </c>
      <c r="C507" s="47">
        <v>8559.884</v>
      </c>
      <c r="D507" s="47">
        <v>11321.169</v>
      </c>
      <c r="E507" s="47">
        <v>11.070852279663086</v>
      </c>
      <c r="G507" s="47">
        <v>502</v>
      </c>
      <c r="H507" s="47">
        <v>8871.652</v>
      </c>
      <c r="I507" s="47">
        <v>20</v>
      </c>
      <c r="J507" s="47">
        <v>13927.473</v>
      </c>
      <c r="K507" s="47">
        <v>10</v>
      </c>
      <c r="L507" s="47">
        <v>17.555889129638672</v>
      </c>
      <c r="M507" s="47">
        <v>10</v>
      </c>
    </row>
    <row r="508" spans="2:13">
      <c r="B508" s="47">
        <v>20</v>
      </c>
      <c r="C508" s="47">
        <v>8399.0079999999998</v>
      </c>
      <c r="D508" s="47">
        <v>11982.342000000001</v>
      </c>
      <c r="E508" s="47">
        <v>11.818963050842285</v>
      </c>
      <c r="G508" s="47">
        <v>503</v>
      </c>
      <c r="H508" s="47">
        <v>8876.8379999999997</v>
      </c>
      <c r="I508" s="47">
        <v>20</v>
      </c>
      <c r="J508" s="47">
        <v>13928.281999999999</v>
      </c>
      <c r="K508" s="47">
        <v>10</v>
      </c>
      <c r="L508" s="47">
        <v>17.557685852050781</v>
      </c>
      <c r="M508" s="47">
        <v>10</v>
      </c>
    </row>
    <row r="509" spans="2:13">
      <c r="B509" s="47">
        <v>20</v>
      </c>
      <c r="C509" s="47">
        <v>9120.7669999999998</v>
      </c>
      <c r="D509" s="47">
        <v>11203.428</v>
      </c>
      <c r="E509" s="47">
        <v>11.142857551574707</v>
      </c>
      <c r="G509" s="47">
        <v>504</v>
      </c>
      <c r="H509" s="47">
        <v>8885.3369999999995</v>
      </c>
      <c r="I509" s="47">
        <v>18</v>
      </c>
      <c r="J509" s="47">
        <v>13935.406999999999</v>
      </c>
      <c r="K509" s="47">
        <v>10</v>
      </c>
      <c r="L509" s="47">
        <v>17.563262939453125</v>
      </c>
      <c r="M509" s="47">
        <v>10</v>
      </c>
    </row>
    <row r="510" spans="2:13">
      <c r="B510" s="47">
        <v>20</v>
      </c>
      <c r="C510" s="47">
        <v>8469.768</v>
      </c>
      <c r="D510" s="47">
        <v>11746.727999999999</v>
      </c>
      <c r="E510" s="47">
        <v>12.794351577758789</v>
      </c>
      <c r="G510" s="47">
        <v>505</v>
      </c>
      <c r="H510" s="47">
        <v>8892.9590000000007</v>
      </c>
      <c r="I510" s="47">
        <v>18</v>
      </c>
      <c r="J510" s="47">
        <v>13944.832</v>
      </c>
      <c r="K510" s="47">
        <v>12</v>
      </c>
      <c r="L510" s="47">
        <v>17.573818206787109</v>
      </c>
      <c r="M510" s="47">
        <v>8</v>
      </c>
    </row>
    <row r="511" spans="2:13">
      <c r="B511" s="47">
        <v>20</v>
      </c>
      <c r="C511" s="47">
        <v>8924.4150000000009</v>
      </c>
      <c r="D511" s="47">
        <v>11430.508</v>
      </c>
      <c r="E511" s="47">
        <v>10.738313674926758</v>
      </c>
      <c r="G511" s="47">
        <v>506</v>
      </c>
      <c r="H511" s="47">
        <v>8895.6020000000008</v>
      </c>
      <c r="I511" s="47">
        <v>20</v>
      </c>
      <c r="J511" s="47">
        <v>13949.394</v>
      </c>
      <c r="K511" s="47">
        <v>12</v>
      </c>
      <c r="L511" s="47">
        <v>17.589786529541016</v>
      </c>
      <c r="M511" s="47">
        <v>10</v>
      </c>
    </row>
    <row r="512" spans="2:13">
      <c r="B512" s="47">
        <v>20</v>
      </c>
      <c r="C512" s="47">
        <v>8842.6769999999997</v>
      </c>
      <c r="D512" s="47">
        <v>11066.450999999999</v>
      </c>
      <c r="E512" s="47">
        <v>13.686276435852051</v>
      </c>
      <c r="G512" s="47">
        <v>507</v>
      </c>
      <c r="H512" s="47">
        <v>8901.1659999999993</v>
      </c>
      <c r="I512" s="47">
        <v>18</v>
      </c>
      <c r="J512" s="47">
        <v>13971.482</v>
      </c>
      <c r="K512" s="47">
        <v>10</v>
      </c>
      <c r="L512" s="47">
        <v>17.613492965698242</v>
      </c>
      <c r="M512" s="47">
        <v>12</v>
      </c>
    </row>
    <row r="513" spans="2:13">
      <c r="B513" s="47">
        <v>20</v>
      </c>
      <c r="C513" s="47">
        <v>9092.2489999999998</v>
      </c>
      <c r="D513" s="47">
        <v>10767.529</v>
      </c>
      <c r="E513" s="47">
        <v>11.020030975341797</v>
      </c>
      <c r="G513" s="47">
        <v>508</v>
      </c>
      <c r="H513" s="47">
        <v>8903.2620000000006</v>
      </c>
      <c r="I513" s="47">
        <v>18</v>
      </c>
      <c r="J513" s="47">
        <v>13975.119000000001</v>
      </c>
      <c r="K513" s="47">
        <v>10</v>
      </c>
      <c r="L513" s="47">
        <v>17.614297866821289</v>
      </c>
      <c r="M513" s="47">
        <v>8</v>
      </c>
    </row>
    <row r="514" spans="2:13">
      <c r="B514" s="47">
        <v>20</v>
      </c>
      <c r="C514" s="47">
        <v>8923.5460000000003</v>
      </c>
      <c r="D514" s="47">
        <v>11198.43</v>
      </c>
      <c r="E514" s="47">
        <v>10.783828735351563</v>
      </c>
      <c r="G514" s="47">
        <v>509</v>
      </c>
      <c r="H514" s="47">
        <v>8905.3719999999994</v>
      </c>
      <c r="I514" s="47">
        <v>20</v>
      </c>
      <c r="J514" s="47">
        <v>13983.606</v>
      </c>
      <c r="K514" s="47">
        <v>12</v>
      </c>
      <c r="L514" s="47">
        <v>17.618532180786133</v>
      </c>
      <c r="M514" s="47">
        <v>8</v>
      </c>
    </row>
    <row r="515" spans="2:13">
      <c r="B515" s="47">
        <v>20</v>
      </c>
      <c r="C515" s="47">
        <v>8633.7919999999995</v>
      </c>
      <c r="D515" s="47">
        <v>11759.427</v>
      </c>
      <c r="E515" s="47">
        <v>11.631763458251953</v>
      </c>
      <c r="G515" s="47">
        <v>510</v>
      </c>
      <c r="H515" s="47">
        <v>8921.7090000000007</v>
      </c>
      <c r="I515" s="47">
        <v>16</v>
      </c>
      <c r="J515" s="47">
        <v>14009.204</v>
      </c>
      <c r="K515" s="47">
        <v>10</v>
      </c>
      <c r="L515" s="47">
        <v>17.651998519897461</v>
      </c>
      <c r="M515" s="47">
        <v>10</v>
      </c>
    </row>
    <row r="516" spans="2:13">
      <c r="B516" s="47">
        <v>20</v>
      </c>
      <c r="C516" s="47">
        <v>8274.3705000000009</v>
      </c>
      <c r="D516" s="47">
        <v>11252.272000000001</v>
      </c>
      <c r="E516" s="47">
        <v>10.279210090637207</v>
      </c>
      <c r="G516" s="47">
        <v>511</v>
      </c>
      <c r="H516" s="47">
        <v>8923.5460000000003</v>
      </c>
      <c r="I516" s="47">
        <v>20</v>
      </c>
      <c r="J516" s="47">
        <v>14011.986000000001</v>
      </c>
      <c r="K516" s="47">
        <v>8</v>
      </c>
      <c r="L516" s="47">
        <v>17.664535522460938</v>
      </c>
      <c r="M516" s="47">
        <v>10</v>
      </c>
    </row>
    <row r="517" spans="2:13">
      <c r="B517" s="47">
        <v>20</v>
      </c>
      <c r="C517" s="47">
        <v>8382.8760000000002</v>
      </c>
      <c r="D517" s="47">
        <v>11265.599</v>
      </c>
      <c r="E517" s="47">
        <v>10.395659446716309</v>
      </c>
      <c r="G517" s="47">
        <v>512</v>
      </c>
      <c r="H517" s="47">
        <v>8924.4150000000009</v>
      </c>
      <c r="I517" s="47">
        <v>20</v>
      </c>
      <c r="J517" s="47">
        <v>14041.137000000001</v>
      </c>
      <c r="K517" s="47">
        <v>10</v>
      </c>
      <c r="L517" s="47">
        <v>17.673797607421875</v>
      </c>
      <c r="M517" s="47">
        <v>10</v>
      </c>
    </row>
    <row r="518" spans="2:13">
      <c r="B518" s="47">
        <v>20</v>
      </c>
      <c r="C518" s="47">
        <v>7856.9189999999999</v>
      </c>
      <c r="D518" s="47">
        <v>11498.441999999999</v>
      </c>
      <c r="E518" s="47">
        <v>10.788516998291016</v>
      </c>
      <c r="G518" s="47">
        <v>513</v>
      </c>
      <c r="H518" s="47">
        <v>8948.5750000000007</v>
      </c>
      <c r="I518" s="47">
        <v>20</v>
      </c>
      <c r="J518" s="47">
        <v>14068.915000000001</v>
      </c>
      <c r="K518" s="47">
        <v>10</v>
      </c>
      <c r="L518" s="47">
        <v>17.68333625793457</v>
      </c>
      <c r="M518" s="47">
        <v>8</v>
      </c>
    </row>
    <row r="519" spans="2:13">
      <c r="B519" s="47">
        <v>20</v>
      </c>
      <c r="C519" s="47">
        <v>8420.402</v>
      </c>
      <c r="D519" s="47">
        <v>11724.33</v>
      </c>
      <c r="E519" s="47">
        <v>9.5740175247192383</v>
      </c>
      <c r="G519" s="47">
        <v>514</v>
      </c>
      <c r="H519" s="47">
        <v>8978.2309999999998</v>
      </c>
      <c r="I519" s="47">
        <v>18</v>
      </c>
      <c r="J519" s="47">
        <v>14102.029</v>
      </c>
      <c r="K519" s="47">
        <v>12</v>
      </c>
      <c r="L519" s="47">
        <v>17.684995651245117</v>
      </c>
      <c r="M519" s="47">
        <v>12</v>
      </c>
    </row>
    <row r="520" spans="2:13">
      <c r="B520" s="47">
        <v>20</v>
      </c>
      <c r="C520" s="47">
        <v>8265.8709999999992</v>
      </c>
      <c r="D520" s="47">
        <v>10916.842000000001</v>
      </c>
      <c r="E520" s="47">
        <v>10.747846603393555</v>
      </c>
      <c r="G520" s="47">
        <v>515</v>
      </c>
      <c r="H520" s="47">
        <v>8987.5910000000003</v>
      </c>
      <c r="I520" s="47">
        <v>20</v>
      </c>
      <c r="J520" s="47">
        <v>14104.397999999999</v>
      </c>
      <c r="K520" s="47">
        <v>12</v>
      </c>
      <c r="L520" s="47">
        <v>17.689922332763672</v>
      </c>
      <c r="M520" s="47">
        <v>10</v>
      </c>
    </row>
    <row r="521" spans="2:13">
      <c r="B521" s="47">
        <v>20</v>
      </c>
      <c r="C521" s="47">
        <v>7684.2120000000004</v>
      </c>
      <c r="D521" s="47">
        <v>11254.12</v>
      </c>
      <c r="E521" s="47">
        <v>9.718693733215332</v>
      </c>
      <c r="G521" s="47">
        <v>516</v>
      </c>
      <c r="H521" s="47">
        <v>8991.6389999999992</v>
      </c>
      <c r="I521" s="47">
        <v>18</v>
      </c>
      <c r="J521" s="47">
        <v>14106.683999999999</v>
      </c>
      <c r="K521" s="47">
        <v>10</v>
      </c>
      <c r="L521" s="47">
        <v>17.710783004760742</v>
      </c>
      <c r="M521" s="47">
        <v>10</v>
      </c>
    </row>
    <row r="522" spans="2:13">
      <c r="B522" s="47">
        <v>20</v>
      </c>
      <c r="C522" s="47">
        <v>8905.3719999999994</v>
      </c>
      <c r="D522" s="47">
        <v>11040.434999999999</v>
      </c>
      <c r="E522" s="47">
        <v>10.403360366821289</v>
      </c>
      <c r="G522" s="47">
        <v>517</v>
      </c>
      <c r="H522" s="47">
        <v>8994.1530000000002</v>
      </c>
      <c r="I522" s="47">
        <v>18</v>
      </c>
      <c r="J522" s="47">
        <v>14111.575999999999</v>
      </c>
      <c r="K522" s="47">
        <v>12</v>
      </c>
      <c r="L522" s="47">
        <v>17.713069915771484</v>
      </c>
      <c r="M522" s="47">
        <v>12</v>
      </c>
    </row>
    <row r="523" spans="2:13">
      <c r="B523" s="47">
        <v>20</v>
      </c>
      <c r="C523" s="47">
        <v>8055.4684999999999</v>
      </c>
      <c r="D523" s="47">
        <v>11670.454</v>
      </c>
      <c r="E523" s="47">
        <v>11.287103652954102</v>
      </c>
      <c r="G523" s="47">
        <v>518</v>
      </c>
      <c r="H523" s="47">
        <v>9023.4920000000002</v>
      </c>
      <c r="I523" s="47">
        <v>20</v>
      </c>
      <c r="J523" s="47">
        <v>14113.544</v>
      </c>
      <c r="K523" s="47">
        <v>10</v>
      </c>
      <c r="L523" s="47">
        <v>17.713956832885742</v>
      </c>
      <c r="M523" s="47">
        <v>10</v>
      </c>
    </row>
    <row r="524" spans="2:13">
      <c r="B524" s="47">
        <v>20</v>
      </c>
      <c r="C524" s="47">
        <v>8383.6049999999996</v>
      </c>
      <c r="D524" s="47">
        <v>11609.155000000001</v>
      </c>
      <c r="E524" s="47">
        <v>11.66466236114502</v>
      </c>
      <c r="G524" s="47">
        <v>519</v>
      </c>
      <c r="H524" s="47">
        <v>9028.2540000000008</v>
      </c>
      <c r="I524" s="47">
        <v>20</v>
      </c>
      <c r="J524" s="47">
        <v>14121.445</v>
      </c>
      <c r="K524" s="47">
        <v>12</v>
      </c>
      <c r="L524" s="47">
        <v>17.735492706298828</v>
      </c>
      <c r="M524" s="47">
        <v>12</v>
      </c>
    </row>
    <row r="525" spans="2:13">
      <c r="B525" s="47">
        <v>20</v>
      </c>
      <c r="C525" s="47">
        <v>7823.5690000000004</v>
      </c>
      <c r="D525" s="47">
        <v>10705.538</v>
      </c>
      <c r="E525" s="47">
        <v>9.8884897232055664</v>
      </c>
      <c r="G525" s="47">
        <v>520</v>
      </c>
      <c r="H525" s="47">
        <v>9029.0239999999994</v>
      </c>
      <c r="I525" s="47">
        <v>16</v>
      </c>
      <c r="J525" s="47">
        <v>14158.686</v>
      </c>
      <c r="K525" s="47">
        <v>10</v>
      </c>
      <c r="L525" s="47">
        <v>17.767147064208984</v>
      </c>
      <c r="M525" s="47">
        <v>8</v>
      </c>
    </row>
    <row r="526" spans="2:13">
      <c r="B526" s="47">
        <v>20</v>
      </c>
      <c r="C526" s="47">
        <v>8824.6080000000002</v>
      </c>
      <c r="D526" s="47">
        <v>11605.085999999999</v>
      </c>
      <c r="E526" s="47">
        <v>11.248252868652344</v>
      </c>
      <c r="G526" s="47">
        <v>521</v>
      </c>
      <c r="H526" s="47">
        <v>9030.8670000000002</v>
      </c>
      <c r="I526" s="47">
        <v>20</v>
      </c>
      <c r="J526" s="47">
        <v>14175.526</v>
      </c>
      <c r="K526" s="47">
        <v>12</v>
      </c>
      <c r="L526" s="47">
        <v>17.768043518066406</v>
      </c>
      <c r="M526" s="47">
        <v>10</v>
      </c>
    </row>
    <row r="527" spans="2:13">
      <c r="B527" s="47">
        <v>20</v>
      </c>
      <c r="C527" s="47">
        <v>7886.0675000000001</v>
      </c>
      <c r="D527" s="47">
        <v>10859.38</v>
      </c>
      <c r="E527" s="47">
        <v>10.678064346313477</v>
      </c>
      <c r="G527" s="47">
        <v>522</v>
      </c>
      <c r="H527" s="47">
        <v>9033.1540000000005</v>
      </c>
      <c r="I527" s="47">
        <v>18</v>
      </c>
      <c r="J527" s="47">
        <v>14176.802</v>
      </c>
      <c r="K527" s="47">
        <v>12</v>
      </c>
      <c r="L527" s="47">
        <v>17.776773452758789</v>
      </c>
      <c r="M527" s="47">
        <v>10</v>
      </c>
    </row>
    <row r="528" spans="2:13">
      <c r="B528" s="47">
        <v>20</v>
      </c>
      <c r="C528" s="47">
        <v>7576.43</v>
      </c>
      <c r="D528" s="47">
        <v>10586.116</v>
      </c>
      <c r="E528" s="47">
        <v>9.6290607452392578</v>
      </c>
      <c r="G528" s="47">
        <v>523</v>
      </c>
      <c r="H528" s="47">
        <v>9044.866</v>
      </c>
      <c r="I528" s="47">
        <v>18</v>
      </c>
      <c r="J528" s="47">
        <v>14187.924999999999</v>
      </c>
      <c r="K528" s="47">
        <v>10</v>
      </c>
      <c r="L528" s="47">
        <v>17.790487289428711</v>
      </c>
      <c r="M528" s="47">
        <v>10</v>
      </c>
    </row>
    <row r="529" spans="2:13">
      <c r="B529" s="47">
        <v>20</v>
      </c>
      <c r="C529" s="47">
        <v>9182.3259999999991</v>
      </c>
      <c r="D529" s="47">
        <v>11346.483</v>
      </c>
      <c r="E529" s="47">
        <v>10.848018646240234</v>
      </c>
      <c r="G529" s="47">
        <v>524</v>
      </c>
      <c r="H529" s="47">
        <v>9045.8349999999991</v>
      </c>
      <c r="I529" s="47">
        <v>18</v>
      </c>
      <c r="J529" s="47">
        <v>14200.424999999999</v>
      </c>
      <c r="K529" s="47">
        <v>10</v>
      </c>
      <c r="L529" s="47">
        <v>17.808994293212891</v>
      </c>
      <c r="M529" s="47">
        <v>10</v>
      </c>
    </row>
    <row r="530" spans="2:13">
      <c r="B530" s="47">
        <v>20</v>
      </c>
      <c r="C530" s="47">
        <v>8200.8739999999998</v>
      </c>
      <c r="D530" s="47">
        <v>10530.054</v>
      </c>
      <c r="E530" s="47">
        <v>11.079747200012207</v>
      </c>
      <c r="G530" s="47">
        <v>525</v>
      </c>
      <c r="H530" s="47">
        <v>9076.3490000000002</v>
      </c>
      <c r="I530" s="47">
        <v>16</v>
      </c>
      <c r="J530" s="47">
        <v>14229.489</v>
      </c>
      <c r="K530" s="47">
        <v>10</v>
      </c>
      <c r="L530" s="47">
        <v>17.856847763061523</v>
      </c>
      <c r="M530" s="47">
        <v>8</v>
      </c>
    </row>
    <row r="531" spans="2:13">
      <c r="B531" s="47">
        <v>20</v>
      </c>
      <c r="C531" s="47">
        <v>8285.2384999999995</v>
      </c>
      <c r="D531" s="47">
        <v>11607.431</v>
      </c>
      <c r="E531" s="47">
        <v>12.124018669128418</v>
      </c>
      <c r="G531" s="47">
        <v>526</v>
      </c>
      <c r="H531" s="47">
        <v>9080.48</v>
      </c>
      <c r="I531" s="47">
        <v>20</v>
      </c>
      <c r="J531" s="47">
        <v>14229.653</v>
      </c>
      <c r="K531" s="47">
        <v>10</v>
      </c>
      <c r="L531" s="47">
        <v>17.873260498046875</v>
      </c>
      <c r="M531" s="47">
        <v>8</v>
      </c>
    </row>
    <row r="532" spans="2:13">
      <c r="B532" s="47">
        <v>20</v>
      </c>
      <c r="C532" s="47">
        <v>8528.5619999999999</v>
      </c>
      <c r="D532" s="47">
        <v>11389.672</v>
      </c>
      <c r="E532" s="47">
        <v>12.750140190124512</v>
      </c>
      <c r="G532" s="47">
        <v>527</v>
      </c>
      <c r="H532" s="47">
        <v>9090.8520000000008</v>
      </c>
      <c r="I532" s="47">
        <v>20</v>
      </c>
      <c r="J532" s="47">
        <v>14240.563</v>
      </c>
      <c r="K532" s="47">
        <v>8</v>
      </c>
      <c r="L532" s="47">
        <v>17.880325317382813</v>
      </c>
      <c r="M532" s="47">
        <v>10</v>
      </c>
    </row>
    <row r="533" spans="2:13">
      <c r="B533" s="47">
        <v>20</v>
      </c>
      <c r="C533" s="47">
        <v>8653.107</v>
      </c>
      <c r="D533" s="47">
        <v>11298.531000000001</v>
      </c>
      <c r="E533" s="47">
        <v>10.545735359191895</v>
      </c>
      <c r="G533" s="47">
        <v>528</v>
      </c>
      <c r="H533" s="47">
        <v>9091.0229999999992</v>
      </c>
      <c r="I533" s="47">
        <v>18</v>
      </c>
      <c r="J533" s="47">
        <v>14250.416999999999</v>
      </c>
      <c r="K533" s="47">
        <v>10</v>
      </c>
      <c r="L533" s="47">
        <v>17.929155349731445</v>
      </c>
      <c r="M533" s="47">
        <v>8</v>
      </c>
    </row>
    <row r="534" spans="2:13">
      <c r="B534" s="47">
        <v>20</v>
      </c>
      <c r="C534" s="47">
        <v>7947.0855000000001</v>
      </c>
      <c r="D534" s="47">
        <v>10598.055</v>
      </c>
      <c r="E534" s="47">
        <v>10.586276054382324</v>
      </c>
      <c r="G534" s="47">
        <v>529</v>
      </c>
      <c r="H534" s="47">
        <v>9092.2489999999998</v>
      </c>
      <c r="I534" s="47">
        <v>20</v>
      </c>
      <c r="J534" s="47">
        <v>14266.257</v>
      </c>
      <c r="K534" s="47">
        <v>12</v>
      </c>
      <c r="L534" s="47">
        <v>17.950204849243164</v>
      </c>
      <c r="M534" s="47">
        <v>8</v>
      </c>
    </row>
    <row r="535" spans="2:13">
      <c r="B535" s="47">
        <v>20</v>
      </c>
      <c r="C535" s="47">
        <v>8492.3189999999995</v>
      </c>
      <c r="D535" s="47">
        <v>11373.200999999999</v>
      </c>
      <c r="E535" s="47">
        <v>12.389643669128418</v>
      </c>
      <c r="G535" s="47">
        <v>530</v>
      </c>
      <c r="H535" s="47">
        <v>9092.8179999999993</v>
      </c>
      <c r="I535" s="47">
        <v>18</v>
      </c>
      <c r="J535" s="47">
        <v>14285.103999999999</v>
      </c>
      <c r="K535" s="47">
        <v>10</v>
      </c>
      <c r="L535" s="47">
        <v>17.95867919921875</v>
      </c>
      <c r="M535" s="47">
        <v>10</v>
      </c>
    </row>
    <row r="536" spans="2:13">
      <c r="B536" s="47">
        <v>20</v>
      </c>
      <c r="C536" s="47">
        <v>8557.2070000000003</v>
      </c>
      <c r="D536" s="47">
        <v>11096.716</v>
      </c>
      <c r="E536" s="47">
        <v>10.273948669433594</v>
      </c>
      <c r="G536" s="47">
        <v>531</v>
      </c>
      <c r="H536" s="47">
        <v>9102.1749999999993</v>
      </c>
      <c r="I536" s="47">
        <v>18</v>
      </c>
      <c r="J536" s="47">
        <v>14321.803</v>
      </c>
      <c r="K536" s="47">
        <v>12</v>
      </c>
      <c r="L536" s="47">
        <v>17.976537704467773</v>
      </c>
      <c r="M536" s="47">
        <v>10</v>
      </c>
    </row>
    <row r="537" spans="2:13">
      <c r="B537" s="47">
        <v>20</v>
      </c>
      <c r="C537" s="47">
        <v>8790.1589999999997</v>
      </c>
      <c r="D537" s="47">
        <v>11969.858</v>
      </c>
      <c r="E537" s="47">
        <v>10.321870803833008</v>
      </c>
      <c r="G537" s="47">
        <v>532</v>
      </c>
      <c r="H537" s="47">
        <v>9108.5079999999998</v>
      </c>
      <c r="I537" s="47">
        <v>18</v>
      </c>
      <c r="J537" s="47">
        <v>14321.838</v>
      </c>
      <c r="K537" s="47">
        <v>10</v>
      </c>
      <c r="L537" s="47">
        <v>17.995716094970703</v>
      </c>
      <c r="M537" s="47">
        <v>8</v>
      </c>
    </row>
    <row r="538" spans="2:13">
      <c r="B538" s="47">
        <v>20</v>
      </c>
      <c r="C538" s="47">
        <v>7980.7830000000004</v>
      </c>
      <c r="D538" s="47">
        <v>11266.5</v>
      </c>
      <c r="E538" s="47">
        <v>11.383501052856445</v>
      </c>
      <c r="G538" s="47">
        <v>533</v>
      </c>
      <c r="H538" s="47">
        <v>9120.7669999999998</v>
      </c>
      <c r="I538" s="47">
        <v>20</v>
      </c>
      <c r="J538" s="47">
        <v>14358.088</v>
      </c>
      <c r="K538" s="47">
        <v>8</v>
      </c>
      <c r="L538" s="47">
        <v>18.024124145507813</v>
      </c>
      <c r="M538" s="47">
        <v>8</v>
      </c>
    </row>
    <row r="539" spans="2:13">
      <c r="B539" s="47">
        <v>20</v>
      </c>
      <c r="C539" s="47">
        <v>8395.6640000000007</v>
      </c>
      <c r="D539" s="47">
        <v>11092.861000000001</v>
      </c>
      <c r="E539" s="47">
        <v>10.371017456054688</v>
      </c>
      <c r="G539" s="47">
        <v>534</v>
      </c>
      <c r="H539" s="47">
        <v>9148.0249999999996</v>
      </c>
      <c r="I539" s="47">
        <v>20</v>
      </c>
      <c r="J539" s="47">
        <v>14429.593000000001</v>
      </c>
      <c r="K539" s="47">
        <v>12</v>
      </c>
      <c r="L539" s="47">
        <v>18.089437484741211</v>
      </c>
      <c r="M539" s="47">
        <v>10</v>
      </c>
    </row>
    <row r="540" spans="2:13">
      <c r="B540" s="47">
        <v>20</v>
      </c>
      <c r="C540" s="47">
        <v>7940.81</v>
      </c>
      <c r="D540" s="47">
        <v>10999.705</v>
      </c>
      <c r="E540" s="47">
        <v>11.291441917419434</v>
      </c>
      <c r="G540" s="47">
        <v>535</v>
      </c>
      <c r="H540" s="47">
        <v>9156.7540000000008</v>
      </c>
      <c r="I540" s="47">
        <v>20</v>
      </c>
      <c r="J540" s="47">
        <v>14453.948</v>
      </c>
      <c r="K540" s="47">
        <v>12</v>
      </c>
      <c r="L540" s="47">
        <v>18.10212516784668</v>
      </c>
      <c r="M540" s="47">
        <v>12</v>
      </c>
    </row>
    <row r="541" spans="2:13">
      <c r="B541" s="47">
        <v>20</v>
      </c>
      <c r="C541" s="47">
        <v>8217.518</v>
      </c>
      <c r="D541" s="47">
        <v>11425.584000000001</v>
      </c>
      <c r="E541" s="47">
        <v>10.480860710144043</v>
      </c>
      <c r="G541" s="47">
        <v>536</v>
      </c>
      <c r="H541" s="47">
        <v>9182.3259999999991</v>
      </c>
      <c r="I541" s="47">
        <v>20</v>
      </c>
      <c r="J541" s="47">
        <v>14464.554</v>
      </c>
      <c r="K541" s="47">
        <v>10</v>
      </c>
      <c r="L541" s="47">
        <v>18.276350021362305</v>
      </c>
      <c r="M541" s="47">
        <v>8</v>
      </c>
    </row>
    <row r="542" spans="2:13">
      <c r="B542" s="47">
        <v>20</v>
      </c>
      <c r="C542" s="47">
        <v>7990.0720000000001</v>
      </c>
      <c r="D542" s="47">
        <v>10167.035</v>
      </c>
      <c r="E542" s="47">
        <v>10.509722709655762</v>
      </c>
      <c r="G542" s="47">
        <v>537</v>
      </c>
      <c r="H542" s="47">
        <v>9188.33</v>
      </c>
      <c r="I542" s="47">
        <v>20</v>
      </c>
      <c r="J542" s="47">
        <v>14468.62</v>
      </c>
      <c r="K542" s="47">
        <v>10</v>
      </c>
      <c r="L542" s="47">
        <v>18.315929412841797</v>
      </c>
      <c r="M542" s="47">
        <v>10</v>
      </c>
    </row>
    <row r="543" spans="2:13">
      <c r="B543" s="47">
        <v>20</v>
      </c>
      <c r="C543" s="47">
        <v>8590.4979999999996</v>
      </c>
      <c r="D543" s="47">
        <v>11165.755999999999</v>
      </c>
      <c r="E543" s="47">
        <v>10.481490135192871</v>
      </c>
      <c r="G543" s="47">
        <v>538</v>
      </c>
      <c r="H543" s="47">
        <v>9238.6239999999998</v>
      </c>
      <c r="I543" s="47">
        <v>20</v>
      </c>
      <c r="J543" s="47">
        <v>14474.132</v>
      </c>
      <c r="K543" s="47">
        <v>12</v>
      </c>
      <c r="L543" s="47">
        <v>18.453567504882813</v>
      </c>
      <c r="M543" s="47">
        <v>8</v>
      </c>
    </row>
    <row r="544" spans="2:13">
      <c r="B544" s="47">
        <v>20</v>
      </c>
      <c r="C544" s="47">
        <v>8079.2735000000002</v>
      </c>
      <c r="D544" s="47">
        <v>10960.566999999999</v>
      </c>
      <c r="E544" s="47">
        <v>11.248635292053223</v>
      </c>
      <c r="G544" s="47">
        <v>539</v>
      </c>
      <c r="H544" s="47">
        <v>9340.0630000000001</v>
      </c>
      <c r="I544" s="47">
        <v>20</v>
      </c>
      <c r="J544" s="47">
        <v>14495.945</v>
      </c>
      <c r="K544" s="47">
        <v>10</v>
      </c>
      <c r="L544" s="47">
        <v>18.844717025756836</v>
      </c>
      <c r="M544" s="47">
        <v>12</v>
      </c>
    </row>
    <row r="545" spans="2:13">
      <c r="B545" s="47">
        <v>20</v>
      </c>
      <c r="C545" s="47">
        <v>8170.2595000000001</v>
      </c>
      <c r="D545" s="47">
        <v>11803.215</v>
      </c>
      <c r="E545" s="47">
        <v>10.453702926635742</v>
      </c>
      <c r="G545" s="47">
        <v>540</v>
      </c>
      <c r="H545" s="47">
        <v>9555.4750000000004</v>
      </c>
      <c r="I545" s="47">
        <v>20</v>
      </c>
      <c r="J545" s="47">
        <v>15034.82</v>
      </c>
      <c r="K545" s="47">
        <v>12</v>
      </c>
      <c r="L545" s="47">
        <v>18.902776718139648</v>
      </c>
      <c r="M545" s="47">
        <v>8</v>
      </c>
    </row>
  </sheetData>
  <mergeCells count="9">
    <mergeCell ref="Z5:AB5"/>
    <mergeCell ref="AC5:AE5"/>
    <mergeCell ref="AM4:AP4"/>
    <mergeCell ref="AG3:AK4"/>
    <mergeCell ref="B4:E4"/>
    <mergeCell ref="G4:M4"/>
    <mergeCell ref="O4:T4"/>
    <mergeCell ref="O2:T2"/>
    <mergeCell ref="W5:Y5"/>
  </mergeCells>
  <phoneticPr fontId="1" type="noConversion"/>
  <conditionalFormatting sqref="Q7:S1048576">
    <cfRule type="cellIs" dxfId="6" priority="8" operator="greaterThan">
      <formula>0.15</formula>
    </cfRule>
  </conditionalFormatting>
  <conditionalFormatting sqref="R7:R12">
    <cfRule type="cellIs" dxfId="5" priority="7" operator="greaterThan">
      <formula>0.15</formula>
    </cfRule>
  </conditionalFormatting>
  <conditionalFormatting sqref="S7:S12">
    <cfRule type="cellIs" dxfId="4" priority="6" operator="greaterThan">
      <formula>0.15</formula>
    </cfRule>
  </conditionalFormatting>
  <conditionalFormatting sqref="Q7:S12">
    <cfRule type="cellIs" dxfId="3" priority="5" operator="greaterThan">
      <formula>0.15</formula>
    </cfRule>
  </conditionalFormatting>
  <conditionalFormatting sqref="Q7:S35">
    <cfRule type="cellIs" dxfId="2" priority="2" operator="greaterThan">
      <formula>0.15</formula>
    </cfRule>
  </conditionalFormatting>
  <conditionalFormatting sqref="Q1:S5">
    <cfRule type="cellIs" dxfId="1" priority="1" operator="greaterThan">
      <formula>0.15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9" r:id="rId4" name="CommandButton1">
          <controlPr defaultSize="0" autoLine="0" autoPict="0" r:id="rId5">
            <anchor moveWithCells="1">
              <from>
                <xdr:col>1</xdr:col>
                <xdr:colOff>247650</xdr:colOff>
                <xdr:row>0</xdr:row>
                <xdr:rowOff>95250</xdr:rowOff>
              </from>
              <to>
                <xdr:col>3</xdr:col>
                <xdr:colOff>295275</xdr:colOff>
                <xdr:row>1</xdr:row>
                <xdr:rowOff>323850</xdr:rowOff>
              </to>
            </anchor>
          </controlPr>
        </control>
      </mc:Choice>
      <mc:Fallback>
        <control shapeId="61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20"/>
  <sheetViews>
    <sheetView workbookViewId="0">
      <selection activeCell="I12" sqref="I12"/>
    </sheetView>
  </sheetViews>
  <sheetFormatPr defaultColWidth="9" defaultRowHeight="12.75"/>
  <cols>
    <col min="1" max="1" width="4.42578125" style="20" customWidth="1"/>
    <col min="2" max="2" width="10.140625" style="20" customWidth="1"/>
    <col min="3" max="3" width="10.85546875" style="20" customWidth="1"/>
    <col min="4" max="4" width="8.85546875" style="20" customWidth="1"/>
    <col min="5" max="5" width="11.7109375" style="20" customWidth="1"/>
    <col min="6" max="6" width="13.5703125" style="20" customWidth="1"/>
    <col min="7" max="7" width="11.28515625" style="20" customWidth="1"/>
    <col min="8" max="8" width="9.5703125" style="20" customWidth="1"/>
    <col min="9" max="16384" width="9" style="20"/>
  </cols>
  <sheetData>
    <row r="1" spans="1:9" ht="13.5" thickBot="1">
      <c r="A1" s="21"/>
      <c r="B1" s="26"/>
      <c r="C1" s="25"/>
      <c r="D1" s="25"/>
      <c r="E1" s="25"/>
      <c r="F1" s="25"/>
      <c r="G1" s="25"/>
    </row>
    <row r="2" spans="1:9" ht="16.5" customHeight="1">
      <c r="A2" s="27"/>
      <c r="B2" s="76" t="s">
        <v>0</v>
      </c>
      <c r="C2" s="77">
        <v>6.5</v>
      </c>
      <c r="D2" s="132"/>
      <c r="E2" s="133"/>
      <c r="F2" s="79"/>
      <c r="G2" s="79"/>
      <c r="H2" s="25"/>
      <c r="I2" s="25"/>
    </row>
    <row r="3" spans="1:9" ht="15" customHeight="1">
      <c r="A3" s="27"/>
      <c r="B3" s="36" t="s">
        <v>83</v>
      </c>
      <c r="C3" s="78">
        <v>3</v>
      </c>
      <c r="D3" s="141" t="s">
        <v>85</v>
      </c>
      <c r="E3" s="115"/>
      <c r="F3" s="79"/>
      <c r="G3" s="79"/>
      <c r="H3" s="25"/>
      <c r="I3" s="25"/>
    </row>
    <row r="4" spans="1:9" ht="14.25">
      <c r="A4" s="27"/>
      <c r="B4" s="139" t="s">
        <v>84</v>
      </c>
      <c r="C4" s="80">
        <v>20</v>
      </c>
      <c r="D4" s="143" t="s">
        <v>86</v>
      </c>
      <c r="E4" s="116"/>
      <c r="F4" s="79"/>
      <c r="G4" s="79"/>
      <c r="H4" s="25"/>
      <c r="I4" s="25"/>
    </row>
    <row r="5" spans="1:9" ht="14.25">
      <c r="A5" s="27"/>
      <c r="B5" s="139"/>
      <c r="C5" s="81"/>
      <c r="D5" s="81"/>
      <c r="E5" s="116"/>
      <c r="F5" s="79"/>
      <c r="G5" s="79"/>
      <c r="H5" s="25"/>
      <c r="I5" s="25"/>
    </row>
    <row r="6" spans="1:9" ht="32.25" customHeight="1" thickBot="1">
      <c r="A6" s="27"/>
      <c r="B6" s="140"/>
      <c r="C6" s="82"/>
      <c r="D6" s="82"/>
      <c r="E6" s="117"/>
      <c r="F6" s="114"/>
      <c r="G6" s="79"/>
      <c r="H6" s="25"/>
      <c r="I6" s="25"/>
    </row>
    <row r="7" spans="1:9">
      <c r="A7" s="27"/>
      <c r="B7" s="26"/>
      <c r="C7" s="26"/>
      <c r="D7" s="25"/>
      <c r="E7" s="25"/>
      <c r="F7" s="25"/>
      <c r="G7" s="25"/>
    </row>
    <row r="8" spans="1:9">
      <c r="B8" s="118">
        <v>1</v>
      </c>
      <c r="C8" s="118">
        <v>2</v>
      </c>
      <c r="D8" s="118">
        <v>3</v>
      </c>
      <c r="E8" s="118">
        <v>4</v>
      </c>
      <c r="F8" s="118">
        <v>5</v>
      </c>
      <c r="G8" s="26"/>
      <c r="H8" s="21"/>
    </row>
    <row r="9" spans="1:9" ht="21.75" customHeight="1">
      <c r="B9" s="174" t="s">
        <v>16</v>
      </c>
      <c r="C9" s="175"/>
      <c r="D9" s="175"/>
      <c r="E9" s="175"/>
      <c r="F9" s="176"/>
      <c r="G9" s="26"/>
      <c r="H9" s="26"/>
    </row>
    <row r="10" spans="1:9">
      <c r="B10" s="22"/>
      <c r="C10" s="21"/>
      <c r="D10" s="21"/>
      <c r="E10" s="21"/>
      <c r="F10" s="23" t="s">
        <v>26</v>
      </c>
      <c r="G10" s="26"/>
      <c r="H10" s="26"/>
    </row>
    <row r="11" spans="1:9">
      <c r="B11" s="45" t="s">
        <v>48</v>
      </c>
      <c r="C11" s="45" t="s">
        <v>49</v>
      </c>
      <c r="D11" s="45" t="s">
        <v>50</v>
      </c>
      <c r="E11" s="45" t="s">
        <v>51</v>
      </c>
      <c r="F11" s="45" t="s">
        <v>52</v>
      </c>
    </row>
    <row r="12" spans="1:9">
      <c r="A12" s="144">
        <v>1</v>
      </c>
      <c r="B12" s="21">
        <v>15</v>
      </c>
      <c r="C12" s="21">
        <v>4</v>
      </c>
      <c r="D12" s="142">
        <v>3</v>
      </c>
      <c r="E12" s="21">
        <v>5</v>
      </c>
      <c r="F12" s="21">
        <v>1.6090881512935012E-2</v>
      </c>
      <c r="H12" s="145"/>
    </row>
    <row r="13" spans="1:9">
      <c r="A13" s="144">
        <v>2</v>
      </c>
      <c r="B13" s="27">
        <v>15</v>
      </c>
      <c r="C13" s="27">
        <v>6</v>
      </c>
      <c r="D13" s="27">
        <v>5</v>
      </c>
      <c r="E13" s="27">
        <v>7</v>
      </c>
      <c r="F13" s="27">
        <v>1.6718706440511936E-2</v>
      </c>
      <c r="G13" s="145"/>
      <c r="H13" s="145"/>
    </row>
    <row r="14" spans="1:9">
      <c r="A14" s="144">
        <v>3</v>
      </c>
      <c r="B14" s="27">
        <v>60</v>
      </c>
      <c r="C14" s="27">
        <v>8</v>
      </c>
      <c r="D14" s="27">
        <v>7</v>
      </c>
      <c r="E14" s="27">
        <v>9</v>
      </c>
      <c r="F14" s="27">
        <v>3.4967906329512756E-3</v>
      </c>
    </row>
    <row r="15" spans="1:9">
      <c r="A15" s="144">
        <v>4</v>
      </c>
      <c r="B15" s="27">
        <v>60</v>
      </c>
      <c r="C15" s="27">
        <v>10</v>
      </c>
      <c r="D15" s="27">
        <v>9</v>
      </c>
      <c r="E15" s="27">
        <v>11</v>
      </c>
      <c r="F15" s="27">
        <v>2.2569303552366984E-3</v>
      </c>
    </row>
    <row r="16" spans="1:9">
      <c r="A16" s="144">
        <v>5</v>
      </c>
      <c r="B16" s="27">
        <v>60</v>
      </c>
      <c r="C16" s="27">
        <v>12</v>
      </c>
      <c r="D16" s="27">
        <v>11</v>
      </c>
      <c r="E16" s="27">
        <v>13</v>
      </c>
      <c r="F16" s="27">
        <v>1.2073430316709923E-3</v>
      </c>
    </row>
    <row r="17" spans="1:6">
      <c r="A17" s="144">
        <v>6</v>
      </c>
      <c r="B17" s="27">
        <v>60</v>
      </c>
      <c r="C17" s="27">
        <v>14</v>
      </c>
      <c r="D17" s="27">
        <v>13</v>
      </c>
      <c r="E17" s="27">
        <v>15</v>
      </c>
      <c r="F17" s="27">
        <v>5.4211607057007727E-4</v>
      </c>
    </row>
    <row r="18" spans="1:6">
      <c r="A18" s="144">
        <v>7</v>
      </c>
      <c r="B18" s="27">
        <v>90</v>
      </c>
      <c r="C18" s="27">
        <v>16</v>
      </c>
      <c r="D18" s="27">
        <v>15</v>
      </c>
      <c r="E18" s="27">
        <v>17</v>
      </c>
      <c r="F18" s="27">
        <v>1.3799404322564873E-4</v>
      </c>
    </row>
    <row r="19" spans="1:6">
      <c r="A19" s="144">
        <v>8</v>
      </c>
      <c r="B19" s="27">
        <v>90</v>
      </c>
      <c r="C19" s="27">
        <v>18</v>
      </c>
      <c r="D19" s="27">
        <v>17</v>
      </c>
      <c r="E19" s="27">
        <v>19</v>
      </c>
      <c r="F19" s="27">
        <v>4.453088780288669E-5</v>
      </c>
    </row>
    <row r="20" spans="1:6">
      <c r="A20" s="144">
        <v>9</v>
      </c>
      <c r="B20" s="27">
        <v>90</v>
      </c>
      <c r="C20" s="27">
        <v>20</v>
      </c>
      <c r="D20" s="27">
        <v>19</v>
      </c>
      <c r="E20" s="27">
        <v>20</v>
      </c>
      <c r="F20" s="27">
        <v>8.1630604953884732E-6</v>
      </c>
    </row>
  </sheetData>
  <mergeCells count="1">
    <mergeCell ref="B9:F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1</xdr:col>
                <xdr:colOff>628650</xdr:colOff>
                <xdr:row>4</xdr:row>
                <xdr:rowOff>133350</xdr:rowOff>
              </from>
              <to>
                <xdr:col>3</xdr:col>
                <xdr:colOff>323850</xdr:colOff>
                <xdr:row>5</xdr:row>
                <xdr:rowOff>342900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AF552"/>
  <sheetViews>
    <sheetView tabSelected="1" zoomScaleNormal="100" workbookViewId="0">
      <selection activeCell="R10" sqref="R10"/>
    </sheetView>
  </sheetViews>
  <sheetFormatPr defaultColWidth="9" defaultRowHeight="12.75"/>
  <cols>
    <col min="1" max="1" width="9" style="2"/>
    <col min="2" max="2" width="7" style="18" customWidth="1"/>
    <col min="3" max="3" width="9" style="18"/>
    <col min="4" max="4" width="9" style="18" customWidth="1"/>
    <col min="5" max="6" width="7" style="18" customWidth="1"/>
    <col min="7" max="7" width="11.7109375" style="18" customWidth="1"/>
    <col min="8" max="9" width="8.42578125" style="18" customWidth="1"/>
    <col min="10" max="10" width="8" style="18" customWidth="1"/>
    <col min="11" max="11" width="8.28515625" style="18" customWidth="1"/>
    <col min="12" max="12" width="9" style="18"/>
    <col min="13" max="13" width="9.7109375" style="18" customWidth="1"/>
    <col min="14" max="14" width="12.42578125" style="2" customWidth="1"/>
    <col min="15" max="15" width="10.42578125" style="2" customWidth="1"/>
    <col min="16" max="16" width="7.28515625" style="2" customWidth="1"/>
    <col min="17" max="17" width="10.42578125" style="160" customWidth="1"/>
    <col min="18" max="18" width="8.42578125" style="160" customWidth="1"/>
    <col min="19" max="19" width="9.28515625" style="160" customWidth="1"/>
    <col min="20" max="20" width="5" style="160" customWidth="1"/>
    <col min="21" max="21" width="4.7109375" style="160" customWidth="1"/>
    <col min="22" max="22" width="8.42578125" style="160" customWidth="1"/>
    <col min="23" max="23" width="6.28515625" style="2" customWidth="1"/>
    <col min="24" max="24" width="6.7109375" style="2" customWidth="1"/>
    <col min="25" max="25" width="6.42578125" style="2" customWidth="1"/>
    <col min="26" max="26" width="6.5703125" style="2" customWidth="1"/>
    <col min="27" max="27" width="7" style="2" customWidth="1"/>
    <col min="28" max="28" width="6.140625" style="2" customWidth="1"/>
    <col min="29" max="29" width="6.42578125" style="2" customWidth="1"/>
    <col min="30" max="30" width="6.85546875" style="2" customWidth="1"/>
    <col min="31" max="16384" width="9" style="2"/>
  </cols>
  <sheetData>
    <row r="1" spans="2:32" s="3" customFormat="1" ht="21" customHeight="1" thickBot="1">
      <c r="Q1" s="160"/>
      <c r="R1" s="160"/>
      <c r="S1" s="160"/>
      <c r="T1" s="160"/>
      <c r="U1" s="40"/>
      <c r="V1" s="40"/>
    </row>
    <row r="2" spans="2:32" s="3" customFormat="1" ht="19.5" customHeight="1">
      <c r="B2" s="30"/>
      <c r="C2" s="31" t="s">
        <v>46</v>
      </c>
      <c r="D2" s="31" t="s">
        <v>47</v>
      </c>
      <c r="E2" s="31" t="s">
        <v>19</v>
      </c>
      <c r="F2" s="32"/>
      <c r="G2" s="32"/>
      <c r="H2" s="33"/>
      <c r="J2" s="177" t="s">
        <v>61</v>
      </c>
      <c r="K2" s="178"/>
      <c r="L2" s="178"/>
      <c r="M2" s="178"/>
      <c r="N2" s="179"/>
      <c r="Q2" s="160"/>
      <c r="R2" s="160"/>
      <c r="S2" s="160"/>
      <c r="T2" s="160"/>
      <c r="U2" s="40"/>
      <c r="V2" s="40"/>
    </row>
    <row r="3" spans="2:32" s="3" customFormat="1" ht="22.5" customHeight="1" thickBot="1">
      <c r="B3" s="36" t="s">
        <v>43</v>
      </c>
      <c r="C3" s="131">
        <v>0.9928303628319004</v>
      </c>
      <c r="D3" s="131">
        <v>0.99405615882962628</v>
      </c>
      <c r="E3" s="131">
        <v>0.9703135743527832</v>
      </c>
      <c r="F3" s="4"/>
      <c r="G3" s="73">
        <v>50</v>
      </c>
      <c r="H3" s="34" t="s">
        <v>53</v>
      </c>
      <c r="J3" s="43" t="s">
        <v>56</v>
      </c>
      <c r="K3" s="74">
        <v>1.25</v>
      </c>
      <c r="L3" s="39" t="s">
        <v>62</v>
      </c>
      <c r="M3" s="39" t="s">
        <v>63</v>
      </c>
      <c r="N3" s="44" t="s">
        <v>64</v>
      </c>
      <c r="Q3" s="160"/>
      <c r="R3" s="160"/>
      <c r="S3" s="160"/>
      <c r="T3" s="160"/>
      <c r="U3" s="40"/>
      <c r="V3" s="40"/>
    </row>
    <row r="4" spans="2:32" s="3" customFormat="1" ht="22.5" customHeight="1">
      <c r="B4" s="37" t="s">
        <v>40</v>
      </c>
      <c r="C4" s="71">
        <v>-2000</v>
      </c>
      <c r="D4" s="71">
        <v>500</v>
      </c>
      <c r="E4" s="71">
        <v>-3</v>
      </c>
      <c r="F4" s="126" t="s">
        <v>82</v>
      </c>
      <c r="G4" s="126"/>
      <c r="H4" s="5"/>
      <c r="J4" s="68" t="s">
        <v>57</v>
      </c>
      <c r="K4" s="61"/>
      <c r="L4" s="151">
        <v>9839.358405149329</v>
      </c>
      <c r="M4" s="151">
        <v>15584.22696284574</v>
      </c>
      <c r="N4" s="151">
        <v>20.061472831172662</v>
      </c>
      <c r="Q4" s="160"/>
      <c r="R4" s="160"/>
      <c r="S4" s="160"/>
      <c r="T4" s="160"/>
      <c r="U4" s="40"/>
      <c r="V4" s="40"/>
    </row>
    <row r="5" spans="2:32" s="3" customFormat="1" ht="20.25" customHeight="1">
      <c r="B5" s="37" t="s">
        <v>42</v>
      </c>
      <c r="C5" s="131">
        <v>8831.2220642664543</v>
      </c>
      <c r="D5" s="131">
        <v>12643.202948433818</v>
      </c>
      <c r="E5" s="131">
        <v>19.609720639640443</v>
      </c>
      <c r="F5" s="4"/>
      <c r="G5" s="4"/>
      <c r="H5" s="5"/>
      <c r="J5" s="35" t="s">
        <v>58</v>
      </c>
      <c r="K5" s="40"/>
      <c r="L5" s="152">
        <v>12299.198006436662</v>
      </c>
      <c r="M5" s="152">
        <v>19480.283703557176</v>
      </c>
      <c r="N5" s="153">
        <v>25.076841038965828</v>
      </c>
      <c r="Q5" s="160"/>
      <c r="R5" s="160"/>
      <c r="S5" s="160"/>
      <c r="T5" s="160"/>
      <c r="U5" s="40"/>
      <c r="V5" s="40"/>
    </row>
    <row r="6" spans="2:32" s="3" customFormat="1" ht="18" customHeight="1">
      <c r="B6" s="37" t="s">
        <v>41</v>
      </c>
      <c r="C6" s="131">
        <v>9.188198938442234</v>
      </c>
      <c r="D6" s="131">
        <v>15.25743028230622</v>
      </c>
      <c r="E6" s="131">
        <v>16.611728312465484</v>
      </c>
      <c r="F6" s="4"/>
      <c r="G6" s="4"/>
      <c r="H6" s="5"/>
      <c r="J6" s="35" t="s">
        <v>59</v>
      </c>
      <c r="K6" s="40"/>
      <c r="L6" s="71">
        <v>12693</v>
      </c>
      <c r="M6" s="71">
        <v>20401.7</v>
      </c>
      <c r="N6" s="75">
        <v>25.097000000000001</v>
      </c>
      <c r="Q6" s="160"/>
      <c r="R6" s="160"/>
      <c r="S6" s="160"/>
      <c r="T6" s="160"/>
      <c r="U6" s="40"/>
      <c r="V6" s="40"/>
    </row>
    <row r="7" spans="2:32" s="3" customFormat="1" ht="18" customHeight="1" thickBot="1">
      <c r="B7" s="24"/>
      <c r="C7" s="72" t="s">
        <v>120</v>
      </c>
      <c r="D7" s="72" t="s">
        <v>87</v>
      </c>
      <c r="E7" s="72" t="s">
        <v>116</v>
      </c>
      <c r="F7" s="126" t="s">
        <v>81</v>
      </c>
      <c r="G7" s="126"/>
      <c r="H7" s="127"/>
      <c r="J7" s="41" t="s">
        <v>60</v>
      </c>
      <c r="K7" s="42"/>
      <c r="L7" s="69">
        <f>L5/L6</f>
        <v>0.96897486854460424</v>
      </c>
      <c r="M7" s="69">
        <f t="shared" ref="M7:N7" si="0">M5/M6</f>
        <v>0.95483629812991933</v>
      </c>
      <c r="N7" s="70">
        <f t="shared" si="0"/>
        <v>0.99919675813706121</v>
      </c>
      <c r="Q7" s="160"/>
      <c r="R7" s="160"/>
      <c r="S7" s="160"/>
      <c r="T7" s="160"/>
      <c r="U7" s="40"/>
      <c r="V7" s="40"/>
    </row>
    <row r="8" spans="2:32" s="3" customFormat="1" ht="18" customHeight="1" thickBot="1">
      <c r="B8" s="124" t="s">
        <v>80</v>
      </c>
      <c r="C8" s="125">
        <v>8000</v>
      </c>
      <c r="D8" s="125">
        <v>13000</v>
      </c>
      <c r="E8" s="125">
        <v>16</v>
      </c>
      <c r="F8" s="128" t="s">
        <v>88</v>
      </c>
      <c r="G8" s="129"/>
      <c r="H8" s="130"/>
      <c r="Q8" s="160"/>
      <c r="R8" s="160"/>
      <c r="S8" s="160"/>
      <c r="T8" s="160"/>
      <c r="U8" s="40"/>
      <c r="V8" s="29"/>
      <c r="W8" s="97"/>
      <c r="X8" s="97"/>
      <c r="Y8" s="97"/>
      <c r="Z8" s="97"/>
      <c r="AA8" s="97"/>
      <c r="AB8" s="97"/>
      <c r="AC8" s="97"/>
      <c r="AD8" s="97"/>
    </row>
    <row r="9" spans="2:32" s="3" customFormat="1" ht="18" customHeight="1">
      <c r="B9" s="4"/>
      <c r="C9" s="29"/>
      <c r="D9" s="67"/>
      <c r="E9" s="29"/>
      <c r="Q9" s="160"/>
      <c r="R9" s="160"/>
      <c r="S9" s="160"/>
      <c r="T9" s="160"/>
      <c r="U9" s="40"/>
      <c r="V9" s="161"/>
      <c r="W9" s="98"/>
      <c r="X9" s="98"/>
      <c r="Y9" s="98"/>
      <c r="Z9" s="98"/>
      <c r="AA9" s="98"/>
      <c r="AB9" s="98"/>
      <c r="AC9" s="98"/>
      <c r="AD9" s="98"/>
    </row>
    <row r="10" spans="2:32" ht="18" customHeight="1">
      <c r="B10" s="38">
        <v>1</v>
      </c>
      <c r="C10" s="38">
        <v>2</v>
      </c>
      <c r="D10" s="38">
        <v>3</v>
      </c>
      <c r="E10" s="38">
        <v>4</v>
      </c>
      <c r="F10" s="38">
        <v>5</v>
      </c>
      <c r="G10" s="38">
        <v>6</v>
      </c>
      <c r="H10" s="38">
        <v>7</v>
      </c>
      <c r="I10" s="38">
        <v>8</v>
      </c>
      <c r="J10" s="38">
        <v>9</v>
      </c>
      <c r="K10" s="38">
        <v>10</v>
      </c>
      <c r="L10" s="38">
        <v>11</v>
      </c>
      <c r="M10" s="38">
        <v>12</v>
      </c>
      <c r="V10" s="162"/>
      <c r="W10" s="102"/>
      <c r="X10" s="102"/>
      <c r="Y10" s="102"/>
      <c r="Z10" s="102"/>
      <c r="AA10" s="102"/>
      <c r="AB10" s="180"/>
      <c r="AC10" s="180"/>
      <c r="AD10" s="180"/>
    </row>
    <row r="11" spans="2:32">
      <c r="B11" s="83"/>
      <c r="C11" s="84" t="s">
        <v>35</v>
      </c>
      <c r="D11" s="85" t="s">
        <v>44</v>
      </c>
      <c r="E11" s="85" t="s">
        <v>45</v>
      </c>
      <c r="F11" s="85"/>
      <c r="G11" s="84" t="s">
        <v>54</v>
      </c>
      <c r="H11" s="85" t="s">
        <v>44</v>
      </c>
      <c r="I11" s="85" t="s">
        <v>45</v>
      </c>
      <c r="J11" s="85"/>
      <c r="K11" s="85" t="s">
        <v>55</v>
      </c>
      <c r="L11" s="85" t="s">
        <v>44</v>
      </c>
      <c r="M11" s="83" t="s">
        <v>45</v>
      </c>
      <c r="N11" s="86" t="s">
        <v>65</v>
      </c>
      <c r="O11" s="87"/>
      <c r="Q11" s="163"/>
      <c r="R11" s="163"/>
      <c r="S11" s="163"/>
      <c r="V11" s="163"/>
      <c r="W11" s="95"/>
      <c r="X11" s="95"/>
      <c r="Y11" s="96"/>
      <c r="Z11" s="96"/>
      <c r="AA11" s="96"/>
      <c r="AB11" s="96"/>
      <c r="AC11" s="96"/>
      <c r="AD11" s="96"/>
      <c r="AE11" s="99"/>
      <c r="AF11" s="99"/>
    </row>
    <row r="12" spans="2:32">
      <c r="B12" s="18">
        <v>1</v>
      </c>
      <c r="C12" s="18">
        <v>5154.018</v>
      </c>
      <c r="D12" s="18">
        <v>0.95949654396460093</v>
      </c>
      <c r="E12" s="18">
        <v>0.86554689787317685</v>
      </c>
      <c r="G12" s="18">
        <v>5624.7134999999998</v>
      </c>
      <c r="H12" s="18">
        <v>0.95949654396459794</v>
      </c>
      <c r="I12" s="18">
        <v>0.99999896193139703</v>
      </c>
      <c r="K12" s="18">
        <v>8.4331321716308594</v>
      </c>
      <c r="L12" s="18">
        <v>0.95949654396459716</v>
      </c>
      <c r="M12" s="18">
        <v>0.99987184323911427</v>
      </c>
      <c r="N12" s="88">
        <f>1/($G$3*365*24*60*60/600)</f>
        <v>3.8051750380517503E-7</v>
      </c>
      <c r="O12" s="89"/>
    </row>
    <row r="13" spans="2:32">
      <c r="B13" s="18">
        <v>2</v>
      </c>
      <c r="C13" s="18">
        <v>5168.1695</v>
      </c>
      <c r="D13" s="18">
        <v>0.94340566245166591</v>
      </c>
      <c r="E13" s="18">
        <v>0.86325989369166933</v>
      </c>
      <c r="G13" s="18">
        <v>5885.5654999999997</v>
      </c>
      <c r="H13" s="18">
        <v>0.94340566245166291</v>
      </c>
      <c r="I13" s="18">
        <v>0.99999778587436816</v>
      </c>
      <c r="K13" s="18">
        <v>8.4873847961425781</v>
      </c>
      <c r="L13" s="18">
        <v>0.94340566245166213</v>
      </c>
      <c r="M13" s="18">
        <v>0.99986135888492933</v>
      </c>
      <c r="N13" s="90"/>
      <c r="O13" s="89"/>
    </row>
    <row r="14" spans="2:32">
      <c r="B14" s="18">
        <v>3</v>
      </c>
      <c r="C14" s="18">
        <v>5201.6215000000002</v>
      </c>
      <c r="D14" s="18">
        <v>0.92731478093873088</v>
      </c>
      <c r="E14" s="18">
        <v>0.8577297547666991</v>
      </c>
      <c r="G14" s="18">
        <v>5993.6239999999998</v>
      </c>
      <c r="H14" s="18">
        <v>0.92731478093872788</v>
      </c>
      <c r="I14" s="18">
        <v>0.99999700196021268</v>
      </c>
      <c r="K14" s="18">
        <v>8.4983530044555664</v>
      </c>
      <c r="L14" s="18">
        <v>0.9273147809387271</v>
      </c>
      <c r="M14" s="18">
        <v>0.99985914359480721</v>
      </c>
      <c r="N14" s="91">
        <v>0</v>
      </c>
      <c r="O14" s="92">
        <v>20000</v>
      </c>
    </row>
    <row r="15" spans="2:32">
      <c r="B15" s="18">
        <v>4</v>
      </c>
      <c r="C15" s="18">
        <v>5202.4920000000002</v>
      </c>
      <c r="D15" s="18">
        <v>0.91122389942579585</v>
      </c>
      <c r="E15" s="18">
        <v>0.85758350001278938</v>
      </c>
      <c r="G15" s="18">
        <v>6282.9975000000004</v>
      </c>
      <c r="H15" s="18">
        <v>0.91122389942579285</v>
      </c>
      <c r="I15" s="18">
        <v>0.99999343874554258</v>
      </c>
      <c r="K15" s="18">
        <v>8.6570510864257813</v>
      </c>
      <c r="L15" s="18">
        <v>0.91122389942579207</v>
      </c>
      <c r="M15" s="18">
        <v>0.99982312785988137</v>
      </c>
      <c r="N15" s="93">
        <f>N12</f>
        <v>3.8051750380517503E-7</v>
      </c>
      <c r="O15" s="94">
        <f>N12</f>
        <v>3.8051750380517503E-7</v>
      </c>
    </row>
    <row r="16" spans="2:32">
      <c r="B16" s="18">
        <v>5</v>
      </c>
      <c r="C16" s="18">
        <v>5215.4285</v>
      </c>
      <c r="D16" s="18">
        <v>0.89513301791286082</v>
      </c>
      <c r="E16" s="18">
        <v>0.85539585467808477</v>
      </c>
      <c r="G16" s="18">
        <v>6293.7560000000003</v>
      </c>
      <c r="H16" s="18">
        <v>0.89513301791285782</v>
      </c>
      <c r="I16" s="18">
        <v>0.99999325001843087</v>
      </c>
      <c r="K16" s="18">
        <v>8.7504596710205078</v>
      </c>
      <c r="L16" s="18">
        <v>0.89513301791285704</v>
      </c>
      <c r="M16" s="18">
        <v>0.99979805512499431</v>
      </c>
    </row>
    <row r="17" spans="2:16">
      <c r="B17" s="18">
        <v>6</v>
      </c>
      <c r="C17" s="18">
        <v>5217.1139999999996</v>
      </c>
      <c r="D17" s="18">
        <v>0.87904213639992579</v>
      </c>
      <c r="E17" s="18">
        <v>0.85510886750600579</v>
      </c>
      <c r="G17" s="18">
        <v>6416.1414999999997</v>
      </c>
      <c r="H17" s="18">
        <v>0.87904213639992279</v>
      </c>
      <c r="I17" s="18">
        <v>0.99999071430635256</v>
      </c>
      <c r="K17" s="18">
        <v>8.8851194381713867</v>
      </c>
      <c r="L17" s="18">
        <v>0.87904213639992201</v>
      </c>
      <c r="M17" s="18">
        <v>0.99975597739400734</v>
      </c>
      <c r="N17" s="18"/>
      <c r="O17" s="18"/>
      <c r="P17" s="18"/>
    </row>
    <row r="18" spans="2:16">
      <c r="B18" s="18">
        <v>7</v>
      </c>
      <c r="C18" s="18">
        <v>5226.7475000000004</v>
      </c>
      <c r="D18" s="18">
        <v>0.86295125488699076</v>
      </c>
      <c r="E18" s="18">
        <v>0.85345988686444352</v>
      </c>
      <c r="G18" s="18">
        <v>6418.6109999999999</v>
      </c>
      <c r="H18" s="18">
        <v>0.86295125488698776</v>
      </c>
      <c r="I18" s="18">
        <v>0.99999065499238671</v>
      </c>
      <c r="K18" s="18">
        <v>8.9769735336303711</v>
      </c>
      <c r="L18" s="18">
        <v>0.86295125488698698</v>
      </c>
      <c r="M18" s="18">
        <v>0.99972269046735263</v>
      </c>
      <c r="N18" s="18"/>
      <c r="O18" s="18"/>
      <c r="P18" s="18"/>
    </row>
    <row r="19" spans="2:16">
      <c r="B19" s="18">
        <v>8</v>
      </c>
      <c r="C19" s="18">
        <v>5268.9970000000003</v>
      </c>
      <c r="D19" s="18">
        <v>0.84686037337405573</v>
      </c>
      <c r="E19" s="18">
        <v>0.84605144189791648</v>
      </c>
      <c r="G19" s="18">
        <v>6475.9049999999997</v>
      </c>
      <c r="H19" s="18">
        <v>0.84686037337405273</v>
      </c>
      <c r="I19" s="18">
        <v>0.99998917532875253</v>
      </c>
      <c r="K19" s="18">
        <v>9.2124910354614258</v>
      </c>
      <c r="L19" s="18">
        <v>0.84686037337405196</v>
      </c>
      <c r="M19" s="18">
        <v>0.9996167960507899</v>
      </c>
    </row>
    <row r="20" spans="2:16">
      <c r="B20" s="18">
        <v>9</v>
      </c>
      <c r="C20" s="18">
        <v>5293.8125</v>
      </c>
      <c r="D20" s="18">
        <v>0.8307694918611207</v>
      </c>
      <c r="E20" s="18">
        <v>0.84156429445486824</v>
      </c>
      <c r="G20" s="18">
        <v>6573.0805</v>
      </c>
      <c r="H20" s="18">
        <v>0.8307694918611177</v>
      </c>
      <c r="I20" s="18">
        <v>0.99998615484746467</v>
      </c>
      <c r="K20" s="18">
        <v>9.2874174118041992</v>
      </c>
      <c r="L20" s="18">
        <v>0.83076949186111693</v>
      </c>
      <c r="M20" s="18">
        <v>0.99957582242536624</v>
      </c>
    </row>
    <row r="21" spans="2:16">
      <c r="B21" s="18">
        <v>10</v>
      </c>
      <c r="C21" s="18">
        <v>5299.6284999999998</v>
      </c>
      <c r="D21" s="18">
        <v>0.81467861034818567</v>
      </c>
      <c r="E21" s="18">
        <v>0.84049794017213963</v>
      </c>
      <c r="G21" s="18">
        <v>6676.3815000000004</v>
      </c>
      <c r="H21" s="18">
        <v>0.81467861034818267</v>
      </c>
      <c r="I21" s="18">
        <v>0.99998209152135697</v>
      </c>
      <c r="K21" s="18">
        <v>9.5466318130493164</v>
      </c>
      <c r="L21" s="18">
        <v>0.8146786103481819</v>
      </c>
      <c r="M21" s="18">
        <v>0.99940004255456449</v>
      </c>
    </row>
    <row r="22" spans="2:16">
      <c r="B22" s="18">
        <v>11</v>
      </c>
      <c r="C22" s="18">
        <v>5302.4714999999997</v>
      </c>
      <c r="D22" s="18">
        <v>0.79858772883525064</v>
      </c>
      <c r="E22" s="18">
        <v>0.83997463834166963</v>
      </c>
      <c r="G22" s="18">
        <v>6785.2920000000004</v>
      </c>
      <c r="H22" s="18">
        <v>0.79858772883524765</v>
      </c>
      <c r="I22" s="18">
        <v>0.99997661798542348</v>
      </c>
      <c r="K22" s="18">
        <v>9.5740175247192383</v>
      </c>
      <c r="L22" s="18">
        <v>0.79858772883524687</v>
      </c>
      <c r="M22" s="18">
        <v>0.99937792118056801</v>
      </c>
    </row>
    <row r="23" spans="2:16">
      <c r="B23" s="18">
        <v>12</v>
      </c>
      <c r="C23" s="18">
        <v>5305.6329999999998</v>
      </c>
      <c r="D23" s="18">
        <v>0.78249684732231561</v>
      </c>
      <c r="E23" s="18">
        <v>0.83939113348662286</v>
      </c>
      <c r="G23" s="18">
        <v>6799.8275000000003</v>
      </c>
      <c r="H23" s="18">
        <v>0.78249684732231262</v>
      </c>
      <c r="I23" s="18">
        <v>0.99997577922780256</v>
      </c>
      <c r="K23" s="18">
        <v>9.5840730667114258</v>
      </c>
      <c r="L23" s="18">
        <v>0.79857956577475153</v>
      </c>
      <c r="M23" s="18">
        <v>0.99936960798763452</v>
      </c>
    </row>
    <row r="24" spans="2:16">
      <c r="B24" s="18">
        <v>13</v>
      </c>
      <c r="C24" s="18">
        <v>5333.31</v>
      </c>
      <c r="D24" s="18">
        <v>0.76640596580938058</v>
      </c>
      <c r="E24" s="18">
        <v>0.83421160498957003</v>
      </c>
      <c r="G24" s="18">
        <v>6881.2690000000002</v>
      </c>
      <c r="H24" s="18">
        <v>0.76640596580937759</v>
      </c>
      <c r="I24" s="18">
        <v>0.99997053551778314</v>
      </c>
      <c r="K24" s="18">
        <v>9.6290607452392578</v>
      </c>
      <c r="L24" s="18">
        <v>0.7824886842618165</v>
      </c>
      <c r="M24" s="18">
        <v>0.99933112102638555</v>
      </c>
    </row>
    <row r="25" spans="2:16">
      <c r="B25" s="18">
        <v>14</v>
      </c>
      <c r="C25" s="18">
        <v>5360.8280000000004</v>
      </c>
      <c r="D25" s="18">
        <v>0.75031508429644556</v>
      </c>
      <c r="E25" s="18">
        <v>0.82893386092539756</v>
      </c>
      <c r="G25" s="18">
        <v>6912.9544999999998</v>
      </c>
      <c r="H25" s="18">
        <v>0.75031508429644256</v>
      </c>
      <c r="I25" s="18">
        <v>0.99996822257793516</v>
      </c>
      <c r="K25" s="18">
        <v>9.659153938293457</v>
      </c>
      <c r="L25" s="18">
        <v>0.78248052120132117</v>
      </c>
      <c r="M25" s="18">
        <v>0.99930415574416187</v>
      </c>
    </row>
    <row r="26" spans="2:16">
      <c r="B26" s="18">
        <v>15</v>
      </c>
      <c r="C26" s="18">
        <v>5384.0675000000001</v>
      </c>
      <c r="D26" s="18">
        <v>0.73422420278351053</v>
      </c>
      <c r="E26" s="18">
        <v>0.82437621233288572</v>
      </c>
      <c r="G26" s="18">
        <v>7248.6824999999999</v>
      </c>
      <c r="H26" s="18">
        <v>0.73422420278350753</v>
      </c>
      <c r="I26" s="18">
        <v>0.99993078057714035</v>
      </c>
      <c r="K26" s="18">
        <v>9.6740264892578125</v>
      </c>
      <c r="L26" s="18">
        <v>0.76638963968838614</v>
      </c>
      <c r="M26" s="18">
        <v>0.99929045510554526</v>
      </c>
    </row>
    <row r="27" spans="2:16">
      <c r="B27" s="18">
        <v>16</v>
      </c>
      <c r="C27" s="18">
        <v>5680.3755000000001</v>
      </c>
      <c r="D27" s="18">
        <v>0.7181333212705755</v>
      </c>
      <c r="E27" s="18">
        <v>0.75787893812347529</v>
      </c>
      <c r="G27" s="18">
        <v>10081.438</v>
      </c>
      <c r="H27" s="18">
        <v>0.7181333212705725</v>
      </c>
      <c r="I27" s="18">
        <v>0.9855639429566736</v>
      </c>
      <c r="K27" s="18">
        <v>9.718693733215332</v>
      </c>
      <c r="L27" s="18">
        <v>0.7663814766278908</v>
      </c>
      <c r="M27" s="18">
        <v>0.99924776826794914</v>
      </c>
    </row>
    <row r="28" spans="2:16">
      <c r="B28" s="18">
        <v>17</v>
      </c>
      <c r="C28" s="18">
        <v>5705.9650000000001</v>
      </c>
      <c r="D28" s="18">
        <v>0.70141461483006351</v>
      </c>
      <c r="E28" s="18">
        <v>0.75138637228355876</v>
      </c>
      <c r="G28" s="18">
        <v>10167.035</v>
      </c>
      <c r="H28" s="18">
        <v>0.71812515821007716</v>
      </c>
      <c r="I28" s="18">
        <v>0.98348326596308033</v>
      </c>
      <c r="K28" s="18">
        <v>9.7483768463134766</v>
      </c>
      <c r="L28" s="18">
        <v>0.76637331356739546</v>
      </c>
      <c r="M28" s="18">
        <v>0.9992180794367731</v>
      </c>
    </row>
    <row r="29" spans="2:16">
      <c r="B29" s="18">
        <v>18</v>
      </c>
      <c r="C29" s="18">
        <v>5732.9740000000002</v>
      </c>
      <c r="D29" s="18">
        <v>0.68469590838955152</v>
      </c>
      <c r="E29" s="18">
        <v>0.74440237046605406</v>
      </c>
      <c r="G29" s="18">
        <v>10334.153</v>
      </c>
      <c r="H29" s="18">
        <v>0.71811699514958183</v>
      </c>
      <c r="I29" s="18">
        <v>0.97859979322518997</v>
      </c>
      <c r="K29" s="18">
        <v>9.7809553146362305</v>
      </c>
      <c r="L29" s="18">
        <v>0.76636515050690013</v>
      </c>
      <c r="M29" s="18">
        <v>0.99918422928579209</v>
      </c>
    </row>
    <row r="30" spans="2:16">
      <c r="B30" s="18">
        <v>19</v>
      </c>
      <c r="C30" s="18">
        <v>5749.5640000000003</v>
      </c>
      <c r="D30" s="18">
        <v>0.66797720194903953</v>
      </c>
      <c r="E30" s="18">
        <v>0.74004565859929905</v>
      </c>
      <c r="G30" s="18">
        <v>10415.138000000001</v>
      </c>
      <c r="H30" s="18">
        <v>0.71810883208908649</v>
      </c>
      <c r="I30" s="18">
        <v>0.97578200575127239</v>
      </c>
      <c r="K30" s="18">
        <v>9.8884897232055664</v>
      </c>
      <c r="L30" s="18">
        <v>0.7502742689939651</v>
      </c>
      <c r="M30" s="18">
        <v>0.9990624661339369</v>
      </c>
    </row>
    <row r="31" spans="2:16">
      <c r="B31" s="18">
        <v>20</v>
      </c>
      <c r="C31" s="18">
        <v>5755.5510000000004</v>
      </c>
      <c r="D31" s="18">
        <v>0.65125849550852755</v>
      </c>
      <c r="E31" s="18">
        <v>0.73846091650509882</v>
      </c>
      <c r="G31" s="18">
        <v>10472.677</v>
      </c>
      <c r="H31" s="18">
        <v>0.71806430120128362</v>
      </c>
      <c r="I31" s="18">
        <v>0.97357647974760164</v>
      </c>
      <c r="K31" s="18">
        <v>10.040622711181641</v>
      </c>
      <c r="L31" s="18">
        <v>0.75026610593346976</v>
      </c>
      <c r="M31" s="18">
        <v>0.99886079601607614</v>
      </c>
    </row>
    <row r="32" spans="2:16">
      <c r="B32" s="18">
        <v>21</v>
      </c>
      <c r="C32" s="18">
        <v>5832.6580000000004</v>
      </c>
      <c r="D32" s="18">
        <v>0.63453978906801556</v>
      </c>
      <c r="E32" s="18">
        <v>0.71746001249312996</v>
      </c>
      <c r="G32" s="18">
        <v>10499.484</v>
      </c>
      <c r="H32" s="18">
        <v>0.71801977031348074</v>
      </c>
      <c r="I32" s="18">
        <v>0.97248710163579577</v>
      </c>
      <c r="K32" s="18">
        <v>10.071426391601563</v>
      </c>
      <c r="L32" s="18">
        <v>0.73417522442053473</v>
      </c>
      <c r="M32" s="18">
        <v>0.99881528786975049</v>
      </c>
    </row>
    <row r="33" spans="2:13">
      <c r="B33" s="18">
        <v>22</v>
      </c>
      <c r="C33" s="18">
        <v>5899.9279999999999</v>
      </c>
      <c r="D33" s="18">
        <v>0.61782108262750357</v>
      </c>
      <c r="E33" s="18">
        <v>0.69824841672198068</v>
      </c>
      <c r="G33" s="18">
        <v>10530.054</v>
      </c>
      <c r="H33" s="18">
        <v>0.71801160725298541</v>
      </c>
      <c r="I33" s="18">
        <v>0.97119450170516453</v>
      </c>
      <c r="K33" s="18">
        <v>10.107729911804199</v>
      </c>
      <c r="L33" s="18">
        <v>0.7341670613600394</v>
      </c>
      <c r="M33" s="18">
        <v>0.99875946344029476</v>
      </c>
    </row>
    <row r="34" spans="2:13">
      <c r="B34" s="18">
        <v>23</v>
      </c>
      <c r="C34" s="18">
        <v>5908.1835000000001</v>
      </c>
      <c r="D34" s="18">
        <v>0.60110237618699158</v>
      </c>
      <c r="E34" s="18">
        <v>0.69583417904399747</v>
      </c>
      <c r="G34" s="18">
        <v>10534.968000000001</v>
      </c>
      <c r="H34" s="18">
        <v>0.71800344419249007</v>
      </c>
      <c r="I34" s="18">
        <v>0.97098159166629361</v>
      </c>
      <c r="K34" s="18">
        <v>10.273948669433594</v>
      </c>
      <c r="L34" s="18">
        <v>0.73415889829954406</v>
      </c>
      <c r="M34" s="18">
        <v>0.99847082569906276</v>
      </c>
    </row>
    <row r="35" spans="2:13">
      <c r="B35" s="18">
        <v>24</v>
      </c>
      <c r="C35" s="18">
        <v>5932.7605000000003</v>
      </c>
      <c r="D35" s="18">
        <v>0.58438366974647959</v>
      </c>
      <c r="E35" s="18">
        <v>0.68857437411149047</v>
      </c>
      <c r="G35" s="18">
        <v>10578.025</v>
      </c>
      <c r="H35" s="18">
        <v>0.7179589133046872</v>
      </c>
      <c r="I35" s="18">
        <v>0.96905329758524439</v>
      </c>
      <c r="K35" s="18">
        <v>10.279210090637207</v>
      </c>
      <c r="L35" s="18">
        <v>0.73415073523904872</v>
      </c>
      <c r="M35" s="18">
        <v>0.99846073353195197</v>
      </c>
    </row>
    <row r="36" spans="2:13">
      <c r="B36" s="18">
        <v>25</v>
      </c>
      <c r="C36" s="18">
        <v>5935.3050000000003</v>
      </c>
      <c r="D36" s="18">
        <v>0.56766496330596761</v>
      </c>
      <c r="E36" s="18">
        <v>0.68781657675117203</v>
      </c>
      <c r="G36" s="18">
        <v>10585.02</v>
      </c>
      <c r="H36" s="18">
        <v>0.71795075024419186</v>
      </c>
      <c r="I36" s="18">
        <v>0.96872915096528556</v>
      </c>
      <c r="K36" s="18">
        <v>10.292530059814453</v>
      </c>
      <c r="L36" s="18">
        <v>0.73414257217855339</v>
      </c>
      <c r="M36" s="18">
        <v>0.99843490360450349</v>
      </c>
    </row>
    <row r="37" spans="2:13">
      <c r="B37" s="18">
        <v>26</v>
      </c>
      <c r="C37" s="18">
        <v>5963.8604999999998</v>
      </c>
      <c r="D37" s="18">
        <v>0.55094625686545562</v>
      </c>
      <c r="E37" s="18">
        <v>0.67923328808907713</v>
      </c>
      <c r="G37" s="18">
        <v>10586.116</v>
      </c>
      <c r="H37" s="18">
        <v>0.71790621935638899</v>
      </c>
      <c r="I37" s="18">
        <v>0.96867808132281852</v>
      </c>
      <c r="K37" s="18">
        <v>10.312351226806641</v>
      </c>
      <c r="L37" s="18">
        <v>0.73413440911805805</v>
      </c>
      <c r="M37" s="18">
        <v>0.9983957121720789</v>
      </c>
    </row>
    <row r="38" spans="2:13">
      <c r="B38" s="18">
        <v>27</v>
      </c>
      <c r="C38" s="18">
        <v>5978.15</v>
      </c>
      <c r="D38" s="18">
        <v>0.53422755042494363</v>
      </c>
      <c r="E38" s="18">
        <v>0.67488401325100256</v>
      </c>
      <c r="G38" s="18">
        <v>10598.055</v>
      </c>
      <c r="H38" s="18">
        <v>0.71789805629589365</v>
      </c>
      <c r="I38" s="18">
        <v>0.96811679079303437</v>
      </c>
      <c r="K38" s="18">
        <v>10.321870803833008</v>
      </c>
      <c r="L38" s="18">
        <v>0.73408987823025518</v>
      </c>
      <c r="M38" s="18">
        <v>0.99837656374921457</v>
      </c>
    </row>
    <row r="39" spans="2:13">
      <c r="B39" s="18">
        <v>28</v>
      </c>
      <c r="C39" s="18">
        <v>6055.6734999999999</v>
      </c>
      <c r="D39" s="18">
        <v>0.51750884398443164</v>
      </c>
      <c r="E39" s="18">
        <v>0.65067118606632335</v>
      </c>
      <c r="G39" s="18">
        <v>10599.099</v>
      </c>
      <c r="H39" s="18">
        <v>0.71788989323539831</v>
      </c>
      <c r="I39" s="18">
        <v>0.96806727313817542</v>
      </c>
      <c r="K39" s="18">
        <v>10.327005386352539</v>
      </c>
      <c r="L39" s="18">
        <v>0.73408171516975984</v>
      </c>
      <c r="M39" s="18">
        <v>0.99836614676635638</v>
      </c>
    </row>
    <row r="40" spans="2:13">
      <c r="B40" s="18">
        <v>29</v>
      </c>
      <c r="C40" s="18">
        <v>6224.2325000000001</v>
      </c>
      <c r="D40" s="18">
        <v>0.50079013754391966</v>
      </c>
      <c r="E40" s="18">
        <v>0.59462896015304423</v>
      </c>
      <c r="G40" s="18">
        <v>10629.424999999999</v>
      </c>
      <c r="H40" s="18">
        <v>0.71788173017490298</v>
      </c>
      <c r="I40" s="18">
        <v>0.96659775741693243</v>
      </c>
      <c r="K40" s="18">
        <v>10.371017456054688</v>
      </c>
      <c r="L40" s="18">
        <v>0.7340735521092645</v>
      </c>
      <c r="M40" s="18">
        <v>0.99827424515437146</v>
      </c>
    </row>
    <row r="41" spans="2:13">
      <c r="B41" s="18">
        <v>30</v>
      </c>
      <c r="C41" s="18">
        <v>6392.0815000000002</v>
      </c>
      <c r="D41" s="18">
        <v>0.48407143110340772</v>
      </c>
      <c r="E41" s="18">
        <v>0.53480594452629371</v>
      </c>
      <c r="G41" s="18">
        <v>10652.987999999999</v>
      </c>
      <c r="H41" s="18">
        <v>0.71787356711440764</v>
      </c>
      <c r="I41" s="18">
        <v>0.9654134765418837</v>
      </c>
      <c r="K41" s="18">
        <v>10.372244834899902</v>
      </c>
      <c r="L41" s="18">
        <v>0.73406538904876917</v>
      </c>
      <c r="M41" s="18">
        <v>0.99827161401641851</v>
      </c>
    </row>
    <row r="42" spans="2:13">
      <c r="B42" s="18">
        <v>31</v>
      </c>
      <c r="C42" s="18">
        <v>6486.1139999999996</v>
      </c>
      <c r="D42" s="18">
        <v>0.46735272466289579</v>
      </c>
      <c r="E42" s="18">
        <v>0.49991304821089455</v>
      </c>
      <c r="G42" s="18">
        <v>10664.909</v>
      </c>
      <c r="H42" s="18">
        <v>0.71782903622660477</v>
      </c>
      <c r="I42" s="18">
        <v>0.96479979644895408</v>
      </c>
      <c r="K42" s="18">
        <v>10.395659446716309</v>
      </c>
      <c r="L42" s="18">
        <v>0.73405722598827383</v>
      </c>
      <c r="M42" s="18">
        <v>0.99822069296254246</v>
      </c>
    </row>
    <row r="43" spans="2:13">
      <c r="B43" s="18">
        <v>32</v>
      </c>
      <c r="C43" s="18">
        <v>6517.8355000000001</v>
      </c>
      <c r="D43" s="18">
        <v>0.46385593402994452</v>
      </c>
      <c r="E43" s="18">
        <v>0.48796989424398013</v>
      </c>
      <c r="G43" s="18">
        <v>10670.037</v>
      </c>
      <c r="H43" s="18">
        <v>0.71778450533880189</v>
      </c>
      <c r="I43" s="18">
        <v>0.96453276102771524</v>
      </c>
      <c r="K43" s="18">
        <v>10.397263526916504</v>
      </c>
      <c r="L43" s="18">
        <v>0.7340490629277785</v>
      </c>
      <c r="M43" s="18">
        <v>0.99821715342808071</v>
      </c>
    </row>
    <row r="44" spans="2:13">
      <c r="B44" s="18">
        <v>33</v>
      </c>
      <c r="C44" s="18">
        <v>6521.8559999999998</v>
      </c>
      <c r="D44" s="18">
        <v>0.46035914339699324</v>
      </c>
      <c r="E44" s="18">
        <v>0.48645088770171296</v>
      </c>
      <c r="G44" s="18">
        <v>10686.388999999999</v>
      </c>
      <c r="H44" s="18">
        <v>0.71773997445099902</v>
      </c>
      <c r="I44" s="18">
        <v>0.96366882388591946</v>
      </c>
      <c r="K44" s="18">
        <v>10.397344589233398</v>
      </c>
      <c r="L44" s="18">
        <v>0.73400453203997562</v>
      </c>
      <c r="M44" s="18">
        <v>0.99821697438207702</v>
      </c>
    </row>
    <row r="45" spans="2:13">
      <c r="B45" s="18">
        <v>34</v>
      </c>
      <c r="C45" s="18">
        <v>6525.9314999999997</v>
      </c>
      <c r="D45" s="18">
        <v>0.45686235276404197</v>
      </c>
      <c r="E45" s="18">
        <v>0.48490995485450961</v>
      </c>
      <c r="G45" s="18">
        <v>10696.486000000001</v>
      </c>
      <c r="H45" s="18">
        <v>0.71773181139050368</v>
      </c>
      <c r="I45" s="18">
        <v>0.96312579732605308</v>
      </c>
      <c r="K45" s="18">
        <v>10.403360366821289</v>
      </c>
      <c r="L45" s="18">
        <v>0.71791365052704059</v>
      </c>
      <c r="M45" s="18">
        <v>0.99820363984794758</v>
      </c>
    </row>
    <row r="46" spans="2:13">
      <c r="B46" s="18">
        <v>35</v>
      </c>
      <c r="C46" s="18">
        <v>6591.6184999999996</v>
      </c>
      <c r="D46" s="18">
        <v>0.45336556213109069</v>
      </c>
      <c r="E46" s="18">
        <v>0.45993267003029314</v>
      </c>
      <c r="G46" s="18">
        <v>10703.904</v>
      </c>
      <c r="H46" s="18">
        <v>0.71772364833000835</v>
      </c>
      <c r="I46" s="18">
        <v>0.96272213427250442</v>
      </c>
      <c r="K46" s="18">
        <v>10.41545581817627</v>
      </c>
      <c r="L46" s="18">
        <v>0.71790548746654526</v>
      </c>
      <c r="M46" s="18">
        <v>0.99817654528508881</v>
      </c>
    </row>
    <row r="47" spans="2:13">
      <c r="B47" s="18">
        <v>36</v>
      </c>
      <c r="C47" s="18">
        <v>6636.4979999999996</v>
      </c>
      <c r="D47" s="18">
        <v>0.44986877149813942</v>
      </c>
      <c r="E47" s="18">
        <v>0.44274574923163895</v>
      </c>
      <c r="G47" s="18">
        <v>10705.538</v>
      </c>
      <c r="H47" s="18">
        <v>0.71767911744220547</v>
      </c>
      <c r="I47" s="18">
        <v>0.96263267648674367</v>
      </c>
      <c r="K47" s="18">
        <v>10.453702926635742</v>
      </c>
      <c r="L47" s="18">
        <v>0.71789732440604992</v>
      </c>
      <c r="M47" s="18">
        <v>0.99808832287842975</v>
      </c>
    </row>
    <row r="48" spans="2:13">
      <c r="B48" s="18">
        <v>37</v>
      </c>
      <c r="C48" s="18">
        <v>6640.9215000000004</v>
      </c>
      <c r="D48" s="18">
        <v>0.44637198086518814</v>
      </c>
      <c r="E48" s="18">
        <v>0.44104782074830745</v>
      </c>
      <c r="G48" s="18">
        <v>10710.21</v>
      </c>
      <c r="H48" s="18">
        <v>0.71767095438171014</v>
      </c>
      <c r="I48" s="18">
        <v>0.96237581187295951</v>
      </c>
      <c r="K48" s="18">
        <v>10.47556209564209</v>
      </c>
      <c r="L48" s="18">
        <v>0.71788916134555458</v>
      </c>
      <c r="M48" s="18">
        <v>0.99803611801994219</v>
      </c>
    </row>
    <row r="49" spans="2:13">
      <c r="B49" s="18">
        <v>38</v>
      </c>
      <c r="C49" s="18">
        <v>6658.9314999999997</v>
      </c>
      <c r="D49" s="18">
        <v>0.44287519023223687</v>
      </c>
      <c r="E49" s="18">
        <v>0.43412915609603769</v>
      </c>
      <c r="G49" s="18">
        <v>10726.272999999999</v>
      </c>
      <c r="H49" s="18">
        <v>0.7176627913212148</v>
      </c>
      <c r="I49" s="18">
        <v>0.9614803206927599</v>
      </c>
      <c r="K49" s="18">
        <v>10.480860710144043</v>
      </c>
      <c r="L49" s="18">
        <v>0.71788099828505925</v>
      </c>
      <c r="M49" s="18">
        <v>0.9980232636918861</v>
      </c>
    </row>
    <row r="50" spans="2:13">
      <c r="B50" s="18">
        <v>39</v>
      </c>
      <c r="C50" s="18">
        <v>6679.5469999999996</v>
      </c>
      <c r="D50" s="18">
        <v>0.4393783995992856</v>
      </c>
      <c r="E50" s="18">
        <v>0.42620048404876348</v>
      </c>
      <c r="G50" s="18">
        <v>10733.601000000001</v>
      </c>
      <c r="H50" s="18">
        <v>0.71765462826071946</v>
      </c>
      <c r="I50" s="18">
        <v>0.96106536611517379</v>
      </c>
      <c r="K50" s="18">
        <v>10.481094360351563</v>
      </c>
      <c r="L50" s="18">
        <v>0.71787283522456391</v>
      </c>
      <c r="M50" s="18">
        <v>0.99802269504717578</v>
      </c>
    </row>
    <row r="51" spans="2:13">
      <c r="B51" s="18">
        <v>40</v>
      </c>
      <c r="C51" s="18">
        <v>6684.4579999999996</v>
      </c>
      <c r="D51" s="18">
        <v>0.43588160896633432</v>
      </c>
      <c r="E51" s="18">
        <v>0.42431062633291322</v>
      </c>
      <c r="G51" s="18">
        <v>10758.316999999999</v>
      </c>
      <c r="H51" s="18">
        <v>0.71761009737291659</v>
      </c>
      <c r="I51" s="18">
        <v>0.95963553561020865</v>
      </c>
      <c r="K51" s="18">
        <v>10.481490135192871</v>
      </c>
      <c r="L51" s="18">
        <v>0.71786467216406857</v>
      </c>
      <c r="M51" s="18">
        <v>0.99802173148229312</v>
      </c>
    </row>
    <row r="52" spans="2:13">
      <c r="B52" s="18">
        <v>41</v>
      </c>
      <c r="C52" s="18">
        <v>6685.4350000000004</v>
      </c>
      <c r="D52" s="18">
        <v>0.43238481833338305</v>
      </c>
      <c r="E52" s="18">
        <v>0.4239346147915804</v>
      </c>
      <c r="G52" s="18">
        <v>10767.529</v>
      </c>
      <c r="H52" s="18">
        <v>0.7008913909324046</v>
      </c>
      <c r="I52" s="18">
        <v>0.95909048127934515</v>
      </c>
      <c r="K52" s="18">
        <v>10.487228393554688</v>
      </c>
      <c r="L52" s="18">
        <v>0.71785650910357324</v>
      </c>
      <c r="M52" s="18">
        <v>0.99800771133203503</v>
      </c>
    </row>
    <row r="53" spans="2:13">
      <c r="B53" s="18">
        <v>42</v>
      </c>
      <c r="C53" s="18">
        <v>6691.0320000000002</v>
      </c>
      <c r="D53" s="18">
        <v>0.42888802770043177</v>
      </c>
      <c r="E53" s="18">
        <v>0.42178029775952941</v>
      </c>
      <c r="G53" s="18">
        <v>10806.300999999999</v>
      </c>
      <c r="H53" s="18">
        <v>0.70088322787190926</v>
      </c>
      <c r="I53" s="18">
        <v>0.95672212007054758</v>
      </c>
      <c r="K53" s="18">
        <v>10.492035865783691</v>
      </c>
      <c r="L53" s="18">
        <v>0.71781197821577036</v>
      </c>
      <c r="M53" s="18">
        <v>0.9979958935970471</v>
      </c>
    </row>
    <row r="54" spans="2:13">
      <c r="B54" s="18">
        <v>43</v>
      </c>
      <c r="C54" s="18">
        <v>6699.4849999999997</v>
      </c>
      <c r="D54" s="18">
        <v>0.4253912370674805</v>
      </c>
      <c r="E54" s="18">
        <v>0.41852603717559594</v>
      </c>
      <c r="G54" s="18">
        <v>10833.503000000001</v>
      </c>
      <c r="H54" s="18">
        <v>0.70083869698410639</v>
      </c>
      <c r="I54" s="18">
        <v>0.95498672477368796</v>
      </c>
      <c r="K54" s="18">
        <v>10.509722709655762</v>
      </c>
      <c r="L54" s="18">
        <v>0.71780381515527503</v>
      </c>
      <c r="M54" s="18">
        <v>0.99795184695133066</v>
      </c>
    </row>
    <row r="55" spans="2:13">
      <c r="B55" s="18">
        <v>44</v>
      </c>
      <c r="C55" s="18">
        <v>6704.2150000000001</v>
      </c>
      <c r="D55" s="18">
        <v>0.42189444643452922</v>
      </c>
      <c r="E55" s="18">
        <v>0.4167047980687083</v>
      </c>
      <c r="G55" s="18">
        <v>10859.38</v>
      </c>
      <c r="H55" s="18">
        <v>0.70083053392361105</v>
      </c>
      <c r="I55" s="18">
        <v>0.95327738229316072</v>
      </c>
      <c r="K55" s="18">
        <v>10.527604103088379</v>
      </c>
      <c r="L55" s="18">
        <v>0.71779565209477969</v>
      </c>
      <c r="M55" s="18">
        <v>0.99790639319737173</v>
      </c>
    </row>
    <row r="56" spans="2:13">
      <c r="B56" s="18">
        <v>45</v>
      </c>
      <c r="C56" s="18">
        <v>6723.6745000000001</v>
      </c>
      <c r="D56" s="18">
        <v>0.41839765580157795</v>
      </c>
      <c r="E56" s="18">
        <v>0.40921103872212733</v>
      </c>
      <c r="G56" s="18">
        <v>10864.152</v>
      </c>
      <c r="H56" s="18">
        <v>0.70082237086311572</v>
      </c>
      <c r="I56" s="18">
        <v>0.95295579647863982</v>
      </c>
      <c r="K56" s="18">
        <v>10.545735359191895</v>
      </c>
      <c r="L56" s="18">
        <v>0.71778748903428435</v>
      </c>
      <c r="M56" s="18">
        <v>0.99785933869953602</v>
      </c>
    </row>
    <row r="57" spans="2:13">
      <c r="B57" s="18">
        <v>46</v>
      </c>
      <c r="C57" s="18">
        <v>6727.6554999999998</v>
      </c>
      <c r="D57" s="18">
        <v>0.41490086516862668</v>
      </c>
      <c r="E57" s="18">
        <v>0.40767792799584046</v>
      </c>
      <c r="G57" s="18">
        <v>10881.312</v>
      </c>
      <c r="H57" s="18">
        <v>0.70081420780262038</v>
      </c>
      <c r="I57" s="18">
        <v>0.95178270687506183</v>
      </c>
      <c r="K57" s="18">
        <v>10.547500610351563</v>
      </c>
      <c r="L57" s="18">
        <v>0.71777932597378902</v>
      </c>
      <c r="M57" s="18">
        <v>0.9978547048480918</v>
      </c>
    </row>
    <row r="58" spans="2:13">
      <c r="B58" s="18">
        <v>47</v>
      </c>
      <c r="C58" s="18">
        <v>6728.5079999999998</v>
      </c>
      <c r="D58" s="18">
        <v>0.4114040745356754</v>
      </c>
      <c r="E58" s="18">
        <v>0.40734962861446705</v>
      </c>
      <c r="G58" s="18">
        <v>10886.655000000001</v>
      </c>
      <c r="H58" s="18">
        <v>0.70067621375939471</v>
      </c>
      <c r="I58" s="18">
        <v>0.95141206762938058</v>
      </c>
      <c r="K58" s="18">
        <v>10.584567070007324</v>
      </c>
      <c r="L58" s="18">
        <v>0.71777116291329368</v>
      </c>
      <c r="M58" s="18">
        <v>0.99775520200792878</v>
      </c>
    </row>
    <row r="59" spans="2:13">
      <c r="B59" s="18">
        <v>48</v>
      </c>
      <c r="C59" s="18">
        <v>6736.8145000000004</v>
      </c>
      <c r="D59" s="18">
        <v>0.40790728390272413</v>
      </c>
      <c r="E59" s="18">
        <v>0.40415092250098517</v>
      </c>
      <c r="G59" s="18">
        <v>10887.987999999999</v>
      </c>
      <c r="H59" s="18">
        <v>0.70063168287159183</v>
      </c>
      <c r="I59" s="18">
        <v>0.95131919668391851</v>
      </c>
      <c r="K59" s="18">
        <v>10.586276054382324</v>
      </c>
      <c r="L59" s="18">
        <v>0.71776299985279834</v>
      </c>
      <c r="M59" s="18">
        <v>0.99775051147927363</v>
      </c>
    </row>
    <row r="60" spans="2:13">
      <c r="B60" s="18">
        <v>49</v>
      </c>
      <c r="C60" s="18">
        <v>6772.9449999999997</v>
      </c>
      <c r="D60" s="18">
        <v>0.40441049326977285</v>
      </c>
      <c r="E60" s="18">
        <v>0.39024531623290665</v>
      </c>
      <c r="G60" s="18">
        <v>10890.423000000001</v>
      </c>
      <c r="H60" s="18">
        <v>0.70058715198378896</v>
      </c>
      <c r="I60" s="18">
        <v>0.95114913293313186</v>
      </c>
      <c r="K60" s="18">
        <v>10.628192901611328</v>
      </c>
      <c r="L60" s="18">
        <v>0.71775483679230301</v>
      </c>
      <c r="M60" s="18">
        <v>0.99763254403267654</v>
      </c>
    </row>
    <row r="61" spans="2:13">
      <c r="B61" s="18">
        <v>50</v>
      </c>
      <c r="C61" s="18">
        <v>6777.0140000000001</v>
      </c>
      <c r="D61" s="18">
        <v>0.40091370263682158</v>
      </c>
      <c r="E61" s="18">
        <v>0.38868057218484808</v>
      </c>
      <c r="G61" s="18">
        <v>10894.819</v>
      </c>
      <c r="H61" s="18">
        <v>0.70044915794056328</v>
      </c>
      <c r="I61" s="18">
        <v>0.95084074530422635</v>
      </c>
      <c r="K61" s="18">
        <v>10.64467716217041</v>
      </c>
      <c r="L61" s="18">
        <v>0.71774667373180767</v>
      </c>
      <c r="M61" s="18">
        <v>0.99758458085151214</v>
      </c>
    </row>
    <row r="62" spans="2:13">
      <c r="B62" s="18">
        <v>51</v>
      </c>
      <c r="C62" s="18">
        <v>6780.6760000000004</v>
      </c>
      <c r="D62" s="18">
        <v>0.3974169120038703</v>
      </c>
      <c r="E62" s="18">
        <v>0.38727264697615638</v>
      </c>
      <c r="G62" s="18">
        <v>10901.852000000001</v>
      </c>
      <c r="H62" s="18">
        <v>0.70044099488006795</v>
      </c>
      <c r="I62" s="18">
        <v>0.95034369465991497</v>
      </c>
      <c r="K62" s="18">
        <v>10.678064346313477</v>
      </c>
      <c r="L62" s="18">
        <v>0.7177021428440048</v>
      </c>
      <c r="M62" s="18">
        <v>0.99748462883957867</v>
      </c>
    </row>
    <row r="63" spans="2:13">
      <c r="B63" s="18">
        <v>52</v>
      </c>
      <c r="C63" s="18">
        <v>6810.6419999999998</v>
      </c>
      <c r="D63" s="18">
        <v>0.39392012137091903</v>
      </c>
      <c r="E63" s="18">
        <v>0.37576505075704558</v>
      </c>
      <c r="G63" s="18">
        <v>10904.912</v>
      </c>
      <c r="H63" s="18">
        <v>0.70043283181957261</v>
      </c>
      <c r="I63" s="18">
        <v>0.95012601331445801</v>
      </c>
      <c r="K63" s="18">
        <v>10.732308387756348</v>
      </c>
      <c r="L63" s="18">
        <v>0.71769397978350946</v>
      </c>
      <c r="M63" s="18">
        <v>0.99731392016166742</v>
      </c>
    </row>
    <row r="64" spans="2:13">
      <c r="B64" s="18">
        <v>53</v>
      </c>
      <c r="C64" s="18">
        <v>6822.808</v>
      </c>
      <c r="D64" s="18">
        <v>0.39042333073796776</v>
      </c>
      <c r="E64" s="18">
        <v>0.37110141760238124</v>
      </c>
      <c r="G64" s="18">
        <v>10913.648999999999</v>
      </c>
      <c r="H64" s="18">
        <v>0.70038830093176974</v>
      </c>
      <c r="I64" s="18">
        <v>0.9494997153362168</v>
      </c>
      <c r="K64" s="18">
        <v>10.733250617980957</v>
      </c>
      <c r="L64" s="18">
        <v>0.71764944889570659</v>
      </c>
      <c r="M64" s="18">
        <v>0.99731086105244171</v>
      </c>
    </row>
    <row r="65" spans="2:13">
      <c r="B65" s="18">
        <v>54</v>
      </c>
      <c r="C65" s="18">
        <v>6830.8990000000003</v>
      </c>
      <c r="D65" s="18">
        <v>0.38692654010501648</v>
      </c>
      <c r="E65" s="18">
        <v>0.36800309625129918</v>
      </c>
      <c r="G65" s="18">
        <v>10913.678</v>
      </c>
      <c r="H65" s="18">
        <v>0.7003801378712744</v>
      </c>
      <c r="I65" s="18">
        <v>0.94949762470584897</v>
      </c>
      <c r="K65" s="18">
        <v>10.738313674926758</v>
      </c>
      <c r="L65" s="18">
        <v>0.71764128583521125</v>
      </c>
      <c r="M65" s="18">
        <v>0.99729436692527862</v>
      </c>
    </row>
    <row r="66" spans="2:13">
      <c r="B66" s="18">
        <v>55</v>
      </c>
      <c r="C66" s="18">
        <v>6832.7020000000002</v>
      </c>
      <c r="D66" s="18">
        <v>0.38342974947206521</v>
      </c>
      <c r="E66" s="18">
        <v>0.36731304357681438</v>
      </c>
      <c r="G66" s="18">
        <v>10916.842000000001</v>
      </c>
      <c r="H66" s="18">
        <v>0.70033560698347153</v>
      </c>
      <c r="I66" s="18">
        <v>0.94926905825161556</v>
      </c>
      <c r="K66" s="18">
        <v>10.747846603393555</v>
      </c>
      <c r="L66" s="18">
        <v>0.71763312277471591</v>
      </c>
      <c r="M66" s="18">
        <v>0.99726305316194852</v>
      </c>
    </row>
    <row r="67" spans="2:13">
      <c r="B67" s="18">
        <v>56</v>
      </c>
      <c r="C67" s="18">
        <v>6839.6760000000004</v>
      </c>
      <c r="D67" s="18">
        <v>0.37993295883911393</v>
      </c>
      <c r="E67" s="18">
        <v>0.3646452875097565</v>
      </c>
      <c r="G67" s="18">
        <v>10943.33</v>
      </c>
      <c r="H67" s="18">
        <v>0.70032744392297619</v>
      </c>
      <c r="I67" s="18">
        <v>0.94731851342003404</v>
      </c>
      <c r="K67" s="18">
        <v>10.771830558776855</v>
      </c>
      <c r="L67" s="18">
        <v>0.71762495971422058</v>
      </c>
      <c r="M67" s="18">
        <v>0.99718275998218497</v>
      </c>
    </row>
    <row r="68" spans="2:13">
      <c r="B68" s="18">
        <v>57</v>
      </c>
      <c r="C68" s="18">
        <v>6841.03</v>
      </c>
      <c r="D68" s="18">
        <v>0.37643616820616266</v>
      </c>
      <c r="E68" s="18">
        <v>0.36412760285653256</v>
      </c>
      <c r="G68" s="18">
        <v>10960.566999999999</v>
      </c>
      <c r="H68" s="18">
        <v>0.70028291303517332</v>
      </c>
      <c r="I68" s="18">
        <v>0.94601301950841277</v>
      </c>
      <c r="K68" s="18">
        <v>10.783828735351563</v>
      </c>
      <c r="L68" s="18">
        <v>0.7175804288264177</v>
      </c>
      <c r="M68" s="18">
        <v>0.99714176822939049</v>
      </c>
    </row>
    <row r="69" spans="2:13">
      <c r="B69" s="18">
        <v>58</v>
      </c>
      <c r="C69" s="18">
        <v>6844.067</v>
      </c>
      <c r="D69" s="18">
        <v>0.37293937757321138</v>
      </c>
      <c r="E69" s="18">
        <v>0.36296676159388969</v>
      </c>
      <c r="G69" s="18">
        <v>10976.707</v>
      </c>
      <c r="H69" s="18">
        <v>0.70027474997467798</v>
      </c>
      <c r="I69" s="18">
        <v>0.94476417633190291</v>
      </c>
      <c r="K69" s="18">
        <v>10.788516998291016</v>
      </c>
      <c r="L69" s="18">
        <v>0.71757226576592237</v>
      </c>
      <c r="M69" s="18">
        <v>0.99712559925152267</v>
      </c>
    </row>
    <row r="70" spans="2:13">
      <c r="B70" s="18">
        <v>59</v>
      </c>
      <c r="C70" s="18">
        <v>6852.9369999999999</v>
      </c>
      <c r="D70" s="18">
        <v>0.36944258694026011</v>
      </c>
      <c r="E70" s="18">
        <v>0.35957896142010776</v>
      </c>
      <c r="G70" s="18">
        <v>10982.111000000001</v>
      </c>
      <c r="H70" s="18">
        <v>0.70023021908687511</v>
      </c>
      <c r="I70" s="18">
        <v>0.94434024429497132</v>
      </c>
      <c r="K70" s="18">
        <v>10.790127754211426</v>
      </c>
      <c r="L70" s="18">
        <v>0.71756410270542703</v>
      </c>
      <c r="M70" s="18">
        <v>0.99712002426337576</v>
      </c>
    </row>
    <row r="71" spans="2:13">
      <c r="B71" s="18">
        <v>60</v>
      </c>
      <c r="C71" s="18">
        <v>6861.4485000000004</v>
      </c>
      <c r="D71" s="18">
        <v>0.36594579630730883</v>
      </c>
      <c r="E71" s="18">
        <v>0.35633194110124078</v>
      </c>
      <c r="G71" s="18">
        <v>10984.009</v>
      </c>
      <c r="H71" s="18">
        <v>0.68351151264636312</v>
      </c>
      <c r="I71" s="18">
        <v>0.94419065472280705</v>
      </c>
      <c r="K71" s="18">
        <v>10.848018646240234</v>
      </c>
      <c r="L71" s="18">
        <v>0.71751957181762416</v>
      </c>
      <c r="M71" s="18">
        <v>0.99691278933962812</v>
      </c>
    </row>
    <row r="72" spans="2:13">
      <c r="B72" s="18">
        <v>61</v>
      </c>
      <c r="C72" s="18">
        <v>6861.7155000000002</v>
      </c>
      <c r="D72" s="18">
        <v>0.36244900567435756</v>
      </c>
      <c r="E72" s="18">
        <v>0.35623014815042425</v>
      </c>
      <c r="G72" s="18">
        <v>10992.638000000001</v>
      </c>
      <c r="H72" s="18">
        <v>0.68350334958586778</v>
      </c>
      <c r="I72" s="18">
        <v>0.94350598041582345</v>
      </c>
      <c r="K72" s="18">
        <v>10.848333358764648</v>
      </c>
      <c r="L72" s="18">
        <v>0.71751140875712882</v>
      </c>
      <c r="M72" s="18">
        <v>0.99691162544765399</v>
      </c>
    </row>
    <row r="73" spans="2:13">
      <c r="B73" s="18">
        <v>62</v>
      </c>
      <c r="C73" s="18">
        <v>6870.7105000000001</v>
      </c>
      <c r="D73" s="18">
        <v>0.35895221504140629</v>
      </c>
      <c r="E73" s="18">
        <v>0.35280320279338445</v>
      </c>
      <c r="G73" s="18">
        <v>10999.705</v>
      </c>
      <c r="H73" s="18">
        <v>0.68349518652537244</v>
      </c>
      <c r="I73" s="18">
        <v>0.94293960888319106</v>
      </c>
      <c r="K73" s="18">
        <v>10.859234809875488</v>
      </c>
      <c r="L73" s="18">
        <v>0.71746687786932595</v>
      </c>
      <c r="M73" s="18">
        <v>0.99687105389852781</v>
      </c>
    </row>
    <row r="74" spans="2:13">
      <c r="B74" s="18">
        <v>63</v>
      </c>
      <c r="C74" s="18">
        <v>6873.88</v>
      </c>
      <c r="D74" s="18">
        <v>0.35545542440845501</v>
      </c>
      <c r="E74" s="18">
        <v>0.35159680618833017</v>
      </c>
      <c r="G74" s="18">
        <v>11004.118</v>
      </c>
      <c r="H74" s="18">
        <v>0.68348702346487711</v>
      </c>
      <c r="I74" s="18">
        <v>0.94258334476697558</v>
      </c>
      <c r="K74" s="18">
        <v>10.859994888305664</v>
      </c>
      <c r="L74" s="18">
        <v>0.71745871480883061</v>
      </c>
      <c r="M74" s="18">
        <v>0.99686820657589037</v>
      </c>
    </row>
    <row r="75" spans="2:13">
      <c r="B75" s="18">
        <v>64</v>
      </c>
      <c r="C75" s="18">
        <v>6878.8040000000001</v>
      </c>
      <c r="D75" s="18">
        <v>0.35195863377550374</v>
      </c>
      <c r="E75" s="18">
        <v>0.34972381456367191</v>
      </c>
      <c r="G75" s="18">
        <v>11027.460999999999</v>
      </c>
      <c r="H75" s="18">
        <v>0.68347886040438177</v>
      </c>
      <c r="I75" s="18">
        <v>0.94066527753622309</v>
      </c>
      <c r="K75" s="18">
        <v>10.865875244140625</v>
      </c>
      <c r="L75" s="18">
        <v>0.71745055174833527</v>
      </c>
      <c r="M75" s="18">
        <v>0.99684609594061946</v>
      </c>
    </row>
    <row r="76" spans="2:13">
      <c r="B76" s="18">
        <v>65</v>
      </c>
      <c r="C76" s="18">
        <v>6881.4849999999997</v>
      </c>
      <c r="D76" s="18">
        <v>0.34846184314255246</v>
      </c>
      <c r="E76" s="18">
        <v>0.34870465197150252</v>
      </c>
      <c r="G76" s="18">
        <v>11032.638000000001</v>
      </c>
      <c r="H76" s="18">
        <v>0.6833408663611561</v>
      </c>
      <c r="I76" s="18">
        <v>0.94023214800365718</v>
      </c>
      <c r="K76" s="18">
        <v>10.888992309570313</v>
      </c>
      <c r="L76" s="18">
        <v>0.71744238868783994</v>
      </c>
      <c r="M76" s="18">
        <v>0.99675774640077408</v>
      </c>
    </row>
    <row r="77" spans="2:13">
      <c r="B77" s="18">
        <v>66</v>
      </c>
      <c r="C77" s="18">
        <v>6891.8289999999997</v>
      </c>
      <c r="D77" s="18">
        <v>0.34496505250960119</v>
      </c>
      <c r="E77" s="18">
        <v>0.34477682707600554</v>
      </c>
      <c r="G77" s="18">
        <v>11034.964</v>
      </c>
      <c r="H77" s="18">
        <v>0.66662215992064411</v>
      </c>
      <c r="I77" s="18">
        <v>0.9400366199450183</v>
      </c>
      <c r="K77" s="18">
        <v>10.93040657043457</v>
      </c>
      <c r="L77" s="18">
        <v>0.71739785780003706</v>
      </c>
      <c r="M77" s="18">
        <v>0.99659363552853963</v>
      </c>
    </row>
    <row r="78" spans="2:13">
      <c r="B78" s="18">
        <v>67</v>
      </c>
      <c r="C78" s="18">
        <v>6905.2354999999998</v>
      </c>
      <c r="D78" s="18">
        <v>0.34146826187664991</v>
      </c>
      <c r="E78" s="18">
        <v>0.33969701684189463</v>
      </c>
      <c r="G78" s="18">
        <v>11036.741</v>
      </c>
      <c r="H78" s="18">
        <v>0.66648416587741843</v>
      </c>
      <c r="I78" s="18">
        <v>0.93988685410737094</v>
      </c>
      <c r="K78" s="18">
        <v>11.020030975341797</v>
      </c>
      <c r="L78" s="18">
        <v>0.71738969473954173</v>
      </c>
      <c r="M78" s="18">
        <v>0.99621143671390611</v>
      </c>
    </row>
    <row r="79" spans="2:13">
      <c r="B79" s="18">
        <v>68</v>
      </c>
      <c r="C79" s="18">
        <v>6913.1610000000001</v>
      </c>
      <c r="D79" s="18">
        <v>0.33797147124369864</v>
      </c>
      <c r="E79" s="18">
        <v>0.33670015244540069</v>
      </c>
      <c r="G79" s="18">
        <v>11040.394</v>
      </c>
      <c r="H79" s="18">
        <v>0.6664760028169231</v>
      </c>
      <c r="I79" s="18">
        <v>0.93957792079897529</v>
      </c>
      <c r="K79" s="18">
        <v>11.027270317077637</v>
      </c>
      <c r="L79" s="18">
        <v>0.71738153167904639</v>
      </c>
      <c r="M79" s="18">
        <v>0.99617887110370051</v>
      </c>
    </row>
    <row r="80" spans="2:13">
      <c r="B80" s="18">
        <v>69</v>
      </c>
      <c r="C80" s="18">
        <v>6927.79</v>
      </c>
      <c r="D80" s="18">
        <v>0.33447468061074737</v>
      </c>
      <c r="E80" s="18">
        <v>0.33118133395728666</v>
      </c>
      <c r="G80" s="18">
        <v>11040.434999999999</v>
      </c>
      <c r="H80" s="18">
        <v>0.66643147192912022</v>
      </c>
      <c r="I80" s="18">
        <v>0.93957444534593237</v>
      </c>
      <c r="K80" s="18">
        <v>11.048103332519531</v>
      </c>
      <c r="L80" s="18">
        <v>0.71737336861855105</v>
      </c>
      <c r="M80" s="18">
        <v>0.99608368464453823</v>
      </c>
    </row>
    <row r="81" spans="2:13">
      <c r="B81" s="18">
        <v>70</v>
      </c>
      <c r="C81" s="18">
        <v>6933.2275</v>
      </c>
      <c r="D81" s="18">
        <v>0.33097788997779609</v>
      </c>
      <c r="E81" s="18">
        <v>0.32913448167489334</v>
      </c>
      <c r="G81" s="18">
        <v>11041.183999999999</v>
      </c>
      <c r="H81" s="18">
        <v>0.66642330886862489</v>
      </c>
      <c r="I81" s="18">
        <v>0.93951092308379291</v>
      </c>
      <c r="K81" s="18">
        <v>11.056553840637207</v>
      </c>
      <c r="L81" s="18">
        <v>0.71736520555805572</v>
      </c>
      <c r="M81" s="18">
        <v>0.9960444439106374</v>
      </c>
    </row>
    <row r="82" spans="2:13">
      <c r="B82" s="18">
        <v>71</v>
      </c>
      <c r="C82" s="18">
        <v>6948.1509999999998</v>
      </c>
      <c r="D82" s="18">
        <v>0.32748109934484482</v>
      </c>
      <c r="E82" s="18">
        <v>0.32352992889129745</v>
      </c>
      <c r="G82" s="18">
        <v>11044.722</v>
      </c>
      <c r="H82" s="18">
        <v>0.66637877798082201</v>
      </c>
      <c r="I82" s="18">
        <v>0.93921005430743842</v>
      </c>
      <c r="K82" s="18">
        <v>11.070590019226074</v>
      </c>
      <c r="L82" s="18">
        <v>0.71735704249756038</v>
      </c>
      <c r="M82" s="18">
        <v>0.99597844975524985</v>
      </c>
    </row>
    <row r="83" spans="2:13">
      <c r="B83" s="18">
        <v>72</v>
      </c>
      <c r="C83" s="18">
        <v>6960.2855</v>
      </c>
      <c r="D83" s="18">
        <v>0.32398430871189354</v>
      </c>
      <c r="E83" s="18">
        <v>0.31898772412342985</v>
      </c>
      <c r="G83" s="18">
        <v>11045.536</v>
      </c>
      <c r="H83" s="18">
        <v>0.66633424709301914</v>
      </c>
      <c r="I83" s="18">
        <v>0.93914064214523296</v>
      </c>
      <c r="K83" s="18">
        <v>11.070852279663086</v>
      </c>
      <c r="L83" s="18">
        <v>0.71734887943706505</v>
      </c>
      <c r="M83" s="18">
        <v>0.99597720691192526</v>
      </c>
    </row>
    <row r="84" spans="2:13">
      <c r="B84" s="18">
        <v>73</v>
      </c>
      <c r="C84" s="18">
        <v>6965.7569999999996</v>
      </c>
      <c r="D84" s="18">
        <v>0.32048751807894227</v>
      </c>
      <c r="E84" s="18">
        <v>0.31694422101799891</v>
      </c>
      <c r="G84" s="18">
        <v>11064.25</v>
      </c>
      <c r="H84" s="18">
        <v>0.66628971620521626</v>
      </c>
      <c r="I84" s="18">
        <v>0.93752505920256501</v>
      </c>
      <c r="K84" s="18">
        <v>11.079747200012207</v>
      </c>
      <c r="L84" s="18">
        <v>0.71734071637656971</v>
      </c>
      <c r="M84" s="18">
        <v>0.99593484030564627</v>
      </c>
    </row>
    <row r="85" spans="2:13">
      <c r="B85" s="18">
        <v>74</v>
      </c>
      <c r="C85" s="18">
        <v>6965.9530000000004</v>
      </c>
      <c r="D85" s="18">
        <v>0.31699072744599099</v>
      </c>
      <c r="E85" s="18">
        <v>0.31687107305183948</v>
      </c>
      <c r="G85" s="18">
        <v>11066.450999999999</v>
      </c>
      <c r="H85" s="18">
        <v>0.66615172216199059</v>
      </c>
      <c r="I85" s="18">
        <v>0.93733253501482972</v>
      </c>
      <c r="K85" s="18">
        <v>11.134340286254883</v>
      </c>
      <c r="L85" s="18">
        <v>0.71733255331607437</v>
      </c>
      <c r="M85" s="18">
        <v>0.99566550991171043</v>
      </c>
    </row>
    <row r="86" spans="2:13">
      <c r="B86" s="18">
        <v>75</v>
      </c>
      <c r="C86" s="18">
        <v>6970.6464999999998</v>
      </c>
      <c r="D86" s="18">
        <v>0.31349393681303972</v>
      </c>
      <c r="E86" s="18">
        <v>0.31512058022491335</v>
      </c>
      <c r="G86" s="18">
        <v>11068.517</v>
      </c>
      <c r="H86" s="18">
        <v>0.66614355910149525</v>
      </c>
      <c r="I86" s="18">
        <v>0.93715133459075661</v>
      </c>
      <c r="K86" s="18">
        <v>11.14080810546875</v>
      </c>
      <c r="L86" s="18">
        <v>0.7172880224282715</v>
      </c>
      <c r="M86" s="18">
        <v>0.99563251580955026</v>
      </c>
    </row>
    <row r="87" spans="2:13">
      <c r="B87" s="18">
        <v>76</v>
      </c>
      <c r="C87" s="18">
        <v>6993.7470000000003</v>
      </c>
      <c r="D87" s="18">
        <v>0.30999714618008845</v>
      </c>
      <c r="E87" s="18">
        <v>0.3065381165253464</v>
      </c>
      <c r="G87" s="18">
        <v>11069</v>
      </c>
      <c r="H87" s="18">
        <v>0.64942485266098327</v>
      </c>
      <c r="I87" s="18">
        <v>0.93710890480659859</v>
      </c>
      <c r="K87" s="18">
        <v>11.142857551574707</v>
      </c>
      <c r="L87" s="18">
        <v>0.71727985936777616</v>
      </c>
      <c r="M87" s="18">
        <v>0.99562201200274736</v>
      </c>
    </row>
    <row r="88" spans="2:13">
      <c r="B88" s="18">
        <v>77</v>
      </c>
      <c r="C88" s="18">
        <v>7013.6260000000002</v>
      </c>
      <c r="D88" s="18">
        <v>0.30650035554713717</v>
      </c>
      <c r="E88" s="18">
        <v>0.2991994052029649</v>
      </c>
      <c r="G88" s="18">
        <v>11092.861000000001</v>
      </c>
      <c r="H88" s="18">
        <v>0.64941668960048793</v>
      </c>
      <c r="I88" s="18">
        <v>0.93498050437532565</v>
      </c>
      <c r="K88" s="18">
        <v>11.17795467376709</v>
      </c>
      <c r="L88" s="18">
        <v>0.71727169630728083</v>
      </c>
      <c r="M88" s="18">
        <v>0.9954384158813111</v>
      </c>
    </row>
    <row r="89" spans="2:13">
      <c r="B89" s="18">
        <v>78</v>
      </c>
      <c r="C89" s="18">
        <v>7017.2205000000004</v>
      </c>
      <c r="D89" s="18">
        <v>0.3030035649141859</v>
      </c>
      <c r="E89" s="18">
        <v>0.29787732602196898</v>
      </c>
      <c r="G89" s="18">
        <v>11096.716</v>
      </c>
      <c r="H89" s="18">
        <v>0.64940852653999259</v>
      </c>
      <c r="I89" s="18">
        <v>0.93463063867394969</v>
      </c>
      <c r="K89" s="18">
        <v>11.201815605163574</v>
      </c>
      <c r="L89" s="18">
        <v>0.71726353324678549</v>
      </c>
      <c r="M89" s="18">
        <v>0.99530950262040352</v>
      </c>
    </row>
    <row r="90" spans="2:13">
      <c r="B90" s="18">
        <v>79</v>
      </c>
      <c r="C90" s="18">
        <v>7024.0940000000001</v>
      </c>
      <c r="D90" s="18">
        <v>0.29950677428123462</v>
      </c>
      <c r="E90" s="18">
        <v>0.29535353743650372</v>
      </c>
      <c r="G90" s="18">
        <v>11101.36</v>
      </c>
      <c r="H90" s="18">
        <v>0.64940036347949726</v>
      </c>
      <c r="I90" s="18">
        <v>0.9342069247772502</v>
      </c>
      <c r="K90" s="18">
        <v>11.220614433288574</v>
      </c>
      <c r="L90" s="18">
        <v>0.71721900235898262</v>
      </c>
      <c r="M90" s="18">
        <v>0.99520554179232645</v>
      </c>
    </row>
    <row r="91" spans="2:13">
      <c r="B91" s="18">
        <v>80</v>
      </c>
      <c r="C91" s="18">
        <v>7030.7280000000001</v>
      </c>
      <c r="D91" s="18">
        <v>0.29600998364828335</v>
      </c>
      <c r="E91" s="18">
        <v>0.29292318099185655</v>
      </c>
      <c r="G91" s="18">
        <v>11112.736999999999</v>
      </c>
      <c r="H91" s="18">
        <v>0.64935583259169438</v>
      </c>
      <c r="I91" s="18">
        <v>0.93315847607023439</v>
      </c>
      <c r="K91" s="18">
        <v>11.244706153869629</v>
      </c>
      <c r="L91" s="18">
        <v>0.71717447147117974</v>
      </c>
      <c r="M91" s="18">
        <v>0.99506915175955191</v>
      </c>
    </row>
    <row r="92" spans="2:13">
      <c r="B92" s="18">
        <v>81</v>
      </c>
      <c r="C92" s="18">
        <v>7041.9669999999996</v>
      </c>
      <c r="D92" s="18">
        <v>0.29251319301533207</v>
      </c>
      <c r="E92" s="18">
        <v>0.2888184421873573</v>
      </c>
      <c r="G92" s="18">
        <v>11115.236000000001</v>
      </c>
      <c r="H92" s="18">
        <v>0.64934766953119905</v>
      </c>
      <c r="I92" s="18">
        <v>0.93292618485196288</v>
      </c>
      <c r="K92" s="18">
        <v>11.248252868652344</v>
      </c>
      <c r="L92" s="18">
        <v>0.71716630841068441</v>
      </c>
      <c r="M92" s="18">
        <v>0.99504876842467072</v>
      </c>
    </row>
    <row r="93" spans="2:13">
      <c r="B93" s="18">
        <v>82</v>
      </c>
      <c r="C93" s="18">
        <v>7056.0325000000003</v>
      </c>
      <c r="D93" s="18">
        <v>0.2890164023823808</v>
      </c>
      <c r="E93" s="18">
        <v>0.28370459178627944</v>
      </c>
      <c r="G93" s="18">
        <v>11118.546</v>
      </c>
      <c r="H93" s="18">
        <v>0.64930313864339617</v>
      </c>
      <c r="I93" s="18">
        <v>0.93261739508189301</v>
      </c>
      <c r="K93" s="18">
        <v>11.248635292053223</v>
      </c>
      <c r="L93" s="18">
        <v>0.71715814535018907</v>
      </c>
      <c r="M93" s="18">
        <v>0.99504656588797846</v>
      </c>
    </row>
    <row r="94" spans="2:13">
      <c r="B94" s="18">
        <v>83</v>
      </c>
      <c r="C94" s="18">
        <v>7063.8744999999999</v>
      </c>
      <c r="D94" s="18">
        <v>0.28551961174942952</v>
      </c>
      <c r="E94" s="18">
        <v>0.28086502328800961</v>
      </c>
      <c r="G94" s="18">
        <v>11121.617</v>
      </c>
      <c r="H94" s="18">
        <v>0.6492586077555933</v>
      </c>
      <c r="I94" s="18">
        <v>0.93232976369258702</v>
      </c>
      <c r="K94" s="18">
        <v>11.287103652954102</v>
      </c>
      <c r="L94" s="18">
        <v>0.71714998228969373</v>
      </c>
      <c r="M94" s="18">
        <v>0.99482025797700779</v>
      </c>
    </row>
    <row r="95" spans="2:13">
      <c r="B95" s="18">
        <v>84</v>
      </c>
      <c r="C95" s="18">
        <v>7070.2470000000003</v>
      </c>
      <c r="D95" s="18">
        <v>0.28202282111647825</v>
      </c>
      <c r="E95" s="18">
        <v>0.2785638347159633</v>
      </c>
      <c r="G95" s="18">
        <v>11130.745999999999</v>
      </c>
      <c r="H95" s="18">
        <v>0.63253990131508131</v>
      </c>
      <c r="I95" s="18">
        <v>0.93146823507438659</v>
      </c>
      <c r="K95" s="18">
        <v>11.291441917419434</v>
      </c>
      <c r="L95" s="18">
        <v>0.7171418192291984</v>
      </c>
      <c r="M95" s="18">
        <v>0.99479413692980756</v>
      </c>
    </row>
    <row r="96" spans="2:13">
      <c r="B96" s="18">
        <v>85</v>
      </c>
      <c r="C96" s="18">
        <v>7077.6215000000002</v>
      </c>
      <c r="D96" s="18">
        <v>0.27852603048352698</v>
      </c>
      <c r="E96" s="18">
        <v>0.27590798425003121</v>
      </c>
      <c r="G96" s="18">
        <v>11136.241</v>
      </c>
      <c r="H96" s="18">
        <v>0.63249537042727844</v>
      </c>
      <c r="I96" s="18">
        <v>0.93094493708060533</v>
      </c>
      <c r="K96" s="18">
        <v>11.302172660827637</v>
      </c>
      <c r="L96" s="18">
        <v>0.71713365616870306</v>
      </c>
      <c r="M96" s="18">
        <v>0.99472899502058454</v>
      </c>
    </row>
    <row r="97" spans="2:13">
      <c r="B97" s="18">
        <v>86</v>
      </c>
      <c r="C97" s="18">
        <v>7111.7134999999998</v>
      </c>
      <c r="D97" s="18">
        <v>0.2750292398505757</v>
      </c>
      <c r="E97" s="18">
        <v>0.26373462877803094</v>
      </c>
      <c r="G97" s="18">
        <v>11142.665000000001</v>
      </c>
      <c r="H97" s="18">
        <v>0.6324872073667831</v>
      </c>
      <c r="I97" s="18">
        <v>0.93032863919340547</v>
      </c>
      <c r="K97" s="18">
        <v>11.36501407623291</v>
      </c>
      <c r="L97" s="18">
        <v>0.71712549310820772</v>
      </c>
      <c r="M97" s="18">
        <v>0.99433191715792679</v>
      </c>
    </row>
    <row r="98" spans="2:13">
      <c r="B98" s="18">
        <v>87</v>
      </c>
      <c r="C98" s="18">
        <v>7159.4849999999997</v>
      </c>
      <c r="D98" s="18">
        <v>0.27153244921762443</v>
      </c>
      <c r="E98" s="18">
        <v>0.24698878224588719</v>
      </c>
      <c r="G98" s="18">
        <v>11152.513000000001</v>
      </c>
      <c r="H98" s="18">
        <v>0.63244267647898023</v>
      </c>
      <c r="I98" s="18">
        <v>0.92937430305503288</v>
      </c>
      <c r="K98" s="18">
        <v>11.381782531738281</v>
      </c>
      <c r="L98" s="18">
        <v>0.71708096222040485</v>
      </c>
      <c r="M98" s="18">
        <v>0.9942213208395132</v>
      </c>
    </row>
    <row r="99" spans="2:13">
      <c r="B99" s="18">
        <v>88</v>
      </c>
      <c r="C99" s="18">
        <v>7165.3535000000002</v>
      </c>
      <c r="D99" s="18">
        <v>0.26927551886238771</v>
      </c>
      <c r="E99" s="18">
        <v>0.24495854266710973</v>
      </c>
      <c r="G99" s="18">
        <v>11164.696</v>
      </c>
      <c r="H99" s="18">
        <v>0.63239814559117735</v>
      </c>
      <c r="I99" s="18">
        <v>0.92817753765710631</v>
      </c>
      <c r="K99" s="18">
        <v>11.383501052856445</v>
      </c>
      <c r="L99" s="18">
        <v>0.71707279915990951</v>
      </c>
      <c r="M99" s="18">
        <v>0.99420987285273865</v>
      </c>
    </row>
    <row r="100" spans="2:13">
      <c r="B100" s="18">
        <v>89</v>
      </c>
      <c r="C100" s="18">
        <v>7176.7704999999996</v>
      </c>
      <c r="D100" s="18">
        <v>0.26577872822943643</v>
      </c>
      <c r="E100" s="18">
        <v>0.24102645259431976</v>
      </c>
      <c r="G100" s="18">
        <v>11165.755999999999</v>
      </c>
      <c r="H100" s="18">
        <v>0.63226015154795168</v>
      </c>
      <c r="I100" s="18">
        <v>0.92807255990656701</v>
      </c>
      <c r="K100" s="18">
        <v>11.390932083129883</v>
      </c>
      <c r="L100" s="18">
        <v>0.71706463609941418</v>
      </c>
      <c r="M100" s="18">
        <v>0.9941601258185695</v>
      </c>
    </row>
    <row r="101" spans="2:13">
      <c r="B101" s="18">
        <v>90</v>
      </c>
      <c r="C101" s="18">
        <v>7180.4139999999998</v>
      </c>
      <c r="D101" s="18">
        <v>0.26352179787419971</v>
      </c>
      <c r="E101" s="18">
        <v>0.23977659577738236</v>
      </c>
      <c r="G101" s="18">
        <v>11175.722</v>
      </c>
      <c r="H101" s="18">
        <v>0.63225198848745634</v>
      </c>
      <c r="I101" s="18">
        <v>0.92707885388151146</v>
      </c>
      <c r="K101" s="18">
        <v>11.39936637878418</v>
      </c>
      <c r="L101" s="18">
        <v>0.7170201052116113</v>
      </c>
      <c r="M101" s="18">
        <v>0.99410317744911736</v>
      </c>
    </row>
    <row r="102" spans="2:13">
      <c r="B102" s="18">
        <v>91</v>
      </c>
      <c r="C102" s="18">
        <v>7221.5370000000003</v>
      </c>
      <c r="D102" s="18">
        <v>0.261264867518963</v>
      </c>
      <c r="E102" s="18">
        <v>0.22584359271830731</v>
      </c>
      <c r="G102" s="18">
        <v>11178.877</v>
      </c>
      <c r="H102" s="18">
        <v>0.63211399444423066</v>
      </c>
      <c r="I102" s="18">
        <v>0.92676172742177487</v>
      </c>
      <c r="K102" s="18">
        <v>11.399449348449707</v>
      </c>
      <c r="L102" s="18">
        <v>0.71701194215111597</v>
      </c>
      <c r="M102" s="18">
        <v>0.99410261466304051</v>
      </c>
    </row>
    <row r="103" spans="2:13">
      <c r="B103" s="18">
        <v>92</v>
      </c>
      <c r="C103" s="18">
        <v>7224.3209999999999</v>
      </c>
      <c r="D103" s="18">
        <v>0.25900793716372628</v>
      </c>
      <c r="E103" s="18">
        <v>0.2249122247368418</v>
      </c>
      <c r="G103" s="18">
        <v>11182.811</v>
      </c>
      <c r="H103" s="18">
        <v>0.63206946355642779</v>
      </c>
      <c r="I103" s="18">
        <v>0.92636457662627691</v>
      </c>
      <c r="K103" s="18">
        <v>11.418981552124023</v>
      </c>
      <c r="L103" s="18">
        <v>0.71696741126331309</v>
      </c>
      <c r="M103" s="18">
        <v>0.99396871796165431</v>
      </c>
    </row>
    <row r="104" spans="2:13">
      <c r="B104" s="18">
        <v>93</v>
      </c>
      <c r="C104" s="18">
        <v>7228.3959999999997</v>
      </c>
      <c r="D104" s="18">
        <v>0.25675100680848956</v>
      </c>
      <c r="E104" s="18">
        <v>0.22355175971165001</v>
      </c>
      <c r="G104" s="18">
        <v>11193.681</v>
      </c>
      <c r="H104" s="18">
        <v>0.63206130049593245</v>
      </c>
      <c r="I104" s="18">
        <v>0.92525721228625546</v>
      </c>
      <c r="K104" s="18">
        <v>11.430893898010254</v>
      </c>
      <c r="L104" s="18">
        <v>0.71692288037551022</v>
      </c>
      <c r="M104" s="18">
        <v>0.99388566451440041</v>
      </c>
    </row>
    <row r="105" spans="2:13">
      <c r="B105" s="18">
        <v>94</v>
      </c>
      <c r="C105" s="18">
        <v>7235.1610000000001</v>
      </c>
      <c r="D105" s="18">
        <v>0.25449407645325284</v>
      </c>
      <c r="E105" s="18">
        <v>0.22130062073051998</v>
      </c>
      <c r="G105" s="18">
        <v>11195.967000000001</v>
      </c>
      <c r="H105" s="18">
        <v>0.63201676960812958</v>
      </c>
      <c r="I105" s="18">
        <v>0.92502244986684923</v>
      </c>
      <c r="K105" s="18">
        <v>11.491589546203613</v>
      </c>
      <c r="L105" s="18">
        <v>0.71687834948770734</v>
      </c>
      <c r="M105" s="18">
        <v>0.99344560048116015</v>
      </c>
    </row>
    <row r="106" spans="2:13">
      <c r="B106" s="18">
        <v>95</v>
      </c>
      <c r="C106" s="18">
        <v>7236.11</v>
      </c>
      <c r="D106" s="18">
        <v>0.25223714609801612</v>
      </c>
      <c r="E106" s="18">
        <v>0.22098557277455108</v>
      </c>
      <c r="G106" s="18">
        <v>11198.43</v>
      </c>
      <c r="H106" s="18">
        <v>0.63197223872032671</v>
      </c>
      <c r="I106" s="18">
        <v>0.92476877541802438</v>
      </c>
      <c r="K106" s="18">
        <v>11.49229621887207</v>
      </c>
      <c r="L106" s="18">
        <v>0.71683381859990447</v>
      </c>
      <c r="M106" s="18">
        <v>0.99344030646300674</v>
      </c>
    </row>
    <row r="107" spans="2:13">
      <c r="B107" s="18">
        <v>96</v>
      </c>
      <c r="C107" s="18">
        <v>7244.4295000000002</v>
      </c>
      <c r="D107" s="18">
        <v>0.25102980306634515</v>
      </c>
      <c r="E107" s="18">
        <v>0.21823158030584835</v>
      </c>
      <c r="G107" s="18">
        <v>11203.428</v>
      </c>
      <c r="H107" s="18">
        <v>0.63196407565983137</v>
      </c>
      <c r="I107" s="18">
        <v>0.92425166047359386</v>
      </c>
      <c r="K107" s="18">
        <v>11.506749153137207</v>
      </c>
      <c r="L107" s="18">
        <v>0.7167892877121016</v>
      </c>
      <c r="M107" s="18">
        <v>0.99333115048290765</v>
      </c>
    </row>
    <row r="108" spans="2:13">
      <c r="B108" s="18">
        <v>97</v>
      </c>
      <c r="C108" s="18">
        <v>7249.7434999999996</v>
      </c>
      <c r="D108" s="18">
        <v>0.24877287271110843</v>
      </c>
      <c r="E108" s="18">
        <v>0.21647998311424366</v>
      </c>
      <c r="G108" s="18">
        <v>11212.210999999999</v>
      </c>
      <c r="H108" s="18">
        <v>0.63195591259933603</v>
      </c>
      <c r="I108" s="18">
        <v>0.92333526230018825</v>
      </c>
      <c r="K108" s="18">
        <v>11.569378852844238</v>
      </c>
      <c r="L108" s="18">
        <v>0.71674475682429872</v>
      </c>
      <c r="M108" s="18">
        <v>0.99283819126116113</v>
      </c>
    </row>
    <row r="109" spans="2:13">
      <c r="B109" s="18">
        <v>98</v>
      </c>
      <c r="C109" s="18">
        <v>7259.4444999999996</v>
      </c>
      <c r="D109" s="18">
        <v>0.24651594235587174</v>
      </c>
      <c r="E109" s="18">
        <v>0.21329759659300118</v>
      </c>
      <c r="G109" s="18">
        <v>11222.189</v>
      </c>
      <c r="H109" s="18">
        <v>0.6319477495388407</v>
      </c>
      <c r="I109" s="18">
        <v>0.92228222365189172</v>
      </c>
      <c r="K109" s="18">
        <v>11.585018157958984</v>
      </c>
      <c r="L109" s="18">
        <v>0.71670022593649585</v>
      </c>
      <c r="M109" s="18">
        <v>0.99270987935288424</v>
      </c>
    </row>
    <row r="110" spans="2:13">
      <c r="B110" s="18">
        <v>99</v>
      </c>
      <c r="C110" s="18">
        <v>7289.4894999999997</v>
      </c>
      <c r="D110" s="18">
        <v>0.24425901200063505</v>
      </c>
      <c r="E110" s="18">
        <v>0.20356946178193455</v>
      </c>
      <c r="G110" s="18">
        <v>11223.037</v>
      </c>
      <c r="H110" s="18">
        <v>0.63190321865103782</v>
      </c>
      <c r="I110" s="18">
        <v>0.92219213889812857</v>
      </c>
      <c r="K110" s="18">
        <v>11.588923454284668</v>
      </c>
      <c r="L110" s="18">
        <v>0.71656223189327017</v>
      </c>
      <c r="M110" s="18">
        <v>0.99267750451284675</v>
      </c>
    </row>
    <row r="111" spans="2:13">
      <c r="B111" s="18">
        <v>100</v>
      </c>
      <c r="C111" s="18">
        <v>7291.5950000000003</v>
      </c>
      <c r="D111" s="18">
        <v>0.24076222136768377</v>
      </c>
      <c r="E111" s="18">
        <v>0.2028951457674652</v>
      </c>
      <c r="G111" s="18">
        <v>11227.407999999999</v>
      </c>
      <c r="H111" s="18">
        <v>0.63189505559054249</v>
      </c>
      <c r="I111" s="18">
        <v>0.92172632484473105</v>
      </c>
      <c r="K111" s="18">
        <v>11.631763458251953</v>
      </c>
      <c r="L111" s="18">
        <v>0.7165177010054673</v>
      </c>
      <c r="M111" s="18">
        <v>0.9923134163065872</v>
      </c>
    </row>
    <row r="112" spans="2:13">
      <c r="B112" s="18">
        <v>101</v>
      </c>
      <c r="C112" s="18">
        <v>7307.6629999999996</v>
      </c>
      <c r="D112" s="18">
        <v>0.23955487833601277</v>
      </c>
      <c r="E112" s="18">
        <v>0.19778188323737944</v>
      </c>
      <c r="G112" s="18">
        <v>11243.501</v>
      </c>
      <c r="H112" s="18">
        <v>0.63185052470273961</v>
      </c>
      <c r="I112" s="18">
        <v>0.91998987939426624</v>
      </c>
      <c r="K112" s="18">
        <v>11.633013725280762</v>
      </c>
      <c r="L112" s="18">
        <v>0.71650953794497196</v>
      </c>
      <c r="M112" s="18">
        <v>0.99230254041274146</v>
      </c>
    </row>
    <row r="113" spans="2:13">
      <c r="B113" s="18">
        <v>102</v>
      </c>
      <c r="C113" s="18">
        <v>7327.08</v>
      </c>
      <c r="D113" s="18">
        <v>0.23729794798077608</v>
      </c>
      <c r="E113" s="18">
        <v>0.19168148522373749</v>
      </c>
      <c r="G113" s="18">
        <v>11244.69</v>
      </c>
      <c r="H113" s="18">
        <v>0.63184236164224428</v>
      </c>
      <c r="I113" s="18">
        <v>0.91986023907231274</v>
      </c>
      <c r="K113" s="18">
        <v>11.655497550964355</v>
      </c>
      <c r="L113" s="18">
        <v>0.71646500705716909</v>
      </c>
      <c r="M113" s="18">
        <v>0.99210448219266856</v>
      </c>
    </row>
    <row r="114" spans="2:13">
      <c r="B114" s="18">
        <v>103</v>
      </c>
      <c r="C114" s="18">
        <v>7335.9795000000004</v>
      </c>
      <c r="D114" s="18">
        <v>0.23504101762553939</v>
      </c>
      <c r="E114" s="18">
        <v>0.18891477716656638</v>
      </c>
      <c r="G114" s="18">
        <v>11245.949000000001</v>
      </c>
      <c r="H114" s="18">
        <v>0.6317978307544414</v>
      </c>
      <c r="I114" s="18">
        <v>0.91972276326241575</v>
      </c>
      <c r="K114" s="18">
        <v>11.66466236114502</v>
      </c>
      <c r="L114" s="18">
        <v>0.71645684399667375</v>
      </c>
      <c r="M114" s="18">
        <v>0.99202239050408947</v>
      </c>
    </row>
    <row r="115" spans="2:13">
      <c r="B115" s="18">
        <v>104</v>
      </c>
      <c r="C115" s="18">
        <v>7353.2785000000003</v>
      </c>
      <c r="D115" s="18">
        <v>0.2327840872703027</v>
      </c>
      <c r="E115" s="18">
        <v>0.1835905587379717</v>
      </c>
      <c r="G115" s="18">
        <v>11252.272000000001</v>
      </c>
      <c r="H115" s="18">
        <v>0.63165983671121573</v>
      </c>
      <c r="I115" s="18">
        <v>0.91902915738991842</v>
      </c>
      <c r="K115" s="18">
        <v>11.728519439697266</v>
      </c>
      <c r="L115" s="18">
        <v>0.71644868093617842</v>
      </c>
      <c r="M115" s="18">
        <v>0.99142785505320274</v>
      </c>
    </row>
    <row r="116" spans="2:13">
      <c r="B116" s="18">
        <v>105</v>
      </c>
      <c r="C116" s="18">
        <v>7374.7264999999998</v>
      </c>
      <c r="D116" s="18">
        <v>0.23052715691506601</v>
      </c>
      <c r="E116" s="18">
        <v>0.17708984367939337</v>
      </c>
      <c r="G116" s="18">
        <v>11254.064</v>
      </c>
      <c r="H116" s="18">
        <v>0.63165167365072039</v>
      </c>
      <c r="I116" s="18">
        <v>0.91883161840012928</v>
      </c>
      <c r="K116" s="18">
        <v>11.764962196350098</v>
      </c>
      <c r="L116" s="18">
        <v>0.71640415004837554</v>
      </c>
      <c r="M116" s="18">
        <v>0.99107024037314806</v>
      </c>
    </row>
    <row r="117" spans="2:13">
      <c r="B117" s="18">
        <v>106</v>
      </c>
      <c r="C117" s="18">
        <v>7376.8654999999999</v>
      </c>
      <c r="D117" s="18">
        <v>0.22931981388339501</v>
      </c>
      <c r="E117" s="18">
        <v>0.17644772535383169</v>
      </c>
      <c r="G117" s="18">
        <v>11254.12</v>
      </c>
      <c r="H117" s="18">
        <v>0.63160714276291752</v>
      </c>
      <c r="I117" s="18">
        <v>0.91882543842606712</v>
      </c>
      <c r="K117" s="18">
        <v>11.76596736907959</v>
      </c>
      <c r="L117" s="18">
        <v>0.71639598698788021</v>
      </c>
      <c r="M117" s="18">
        <v>0.99106018166267562</v>
      </c>
    </row>
    <row r="118" spans="2:13">
      <c r="B118" s="18">
        <v>107</v>
      </c>
      <c r="C118" s="18">
        <v>7394.4885000000004</v>
      </c>
      <c r="D118" s="18">
        <v>0.22811247085172401</v>
      </c>
      <c r="E118" s="18">
        <v>0.17120078826668025</v>
      </c>
      <c r="G118" s="18">
        <v>11265.599</v>
      </c>
      <c r="H118" s="18">
        <v>0.63159897970242218</v>
      </c>
      <c r="I118" s="18">
        <v>0.91754981245357548</v>
      </c>
      <c r="K118" s="18">
        <v>11.783818244934082</v>
      </c>
      <c r="L118" s="18">
        <v>0.71638782392738487</v>
      </c>
      <c r="M118" s="18">
        <v>0.99087977472211608</v>
      </c>
    </row>
    <row r="119" spans="2:13">
      <c r="B119" s="18">
        <v>108</v>
      </c>
      <c r="C119" s="18">
        <v>7397.9525000000003</v>
      </c>
      <c r="D119" s="18">
        <v>0.22585554049648732</v>
      </c>
      <c r="E119" s="18">
        <v>0.17017862223147759</v>
      </c>
      <c r="G119" s="18">
        <v>11266.5</v>
      </c>
      <c r="H119" s="18">
        <v>0.63159081664192684</v>
      </c>
      <c r="I119" s="18">
        <v>0.91744893926815507</v>
      </c>
      <c r="K119" s="18">
        <v>11.787068367004395</v>
      </c>
      <c r="L119" s="18">
        <v>0.716343293039582</v>
      </c>
      <c r="M119" s="18">
        <v>0.99084656382822145</v>
      </c>
    </row>
    <row r="120" spans="2:13">
      <c r="B120" s="18">
        <v>109</v>
      </c>
      <c r="C120" s="18">
        <v>7419.7494999999999</v>
      </c>
      <c r="D120" s="18">
        <v>0.22531342442591723</v>
      </c>
      <c r="E120" s="18">
        <v>0.16381689758122886</v>
      </c>
      <c r="G120" s="18">
        <v>11274.84</v>
      </c>
      <c r="H120" s="18">
        <v>0.63158265358143151</v>
      </c>
      <c r="I120" s="18">
        <v>0.91651001695353973</v>
      </c>
      <c r="K120" s="18">
        <v>11.792746543884277</v>
      </c>
      <c r="L120" s="18">
        <v>0.71633512997908666</v>
      </c>
      <c r="M120" s="18">
        <v>0.99078827075411424</v>
      </c>
    </row>
    <row r="121" spans="2:13">
      <c r="B121" s="18">
        <v>110</v>
      </c>
      <c r="C121" s="18">
        <v>7420.5619999999999</v>
      </c>
      <c r="D121" s="18">
        <v>0.22305649407068054</v>
      </c>
      <c r="E121" s="18">
        <v>0.16358212083772369</v>
      </c>
      <c r="G121" s="18">
        <v>11275.379000000001</v>
      </c>
      <c r="H121" s="18">
        <v>0.61486394714091952</v>
      </c>
      <c r="I121" s="18">
        <v>0.91644901198556372</v>
      </c>
      <c r="K121" s="18">
        <v>11.818963050842285</v>
      </c>
      <c r="L121" s="18">
        <v>0.71632696691859132</v>
      </c>
      <c r="M121" s="18">
        <v>0.99051459949674303</v>
      </c>
    </row>
    <row r="122" spans="2:13">
      <c r="B122" s="18">
        <v>111</v>
      </c>
      <c r="C122" s="18">
        <v>7422.2939999999999</v>
      </c>
      <c r="D122" s="18">
        <v>0.22079956371544385</v>
      </c>
      <c r="E122" s="18">
        <v>0.16308221990050983</v>
      </c>
      <c r="G122" s="18">
        <v>11277.529</v>
      </c>
      <c r="H122" s="18">
        <v>0.61472595309769384</v>
      </c>
      <c r="I122" s="18">
        <v>0.91620527839669663</v>
      </c>
      <c r="K122" s="18">
        <v>11.840177536010742</v>
      </c>
      <c r="L122" s="18">
        <v>0.71631880385809599</v>
      </c>
      <c r="M122" s="18">
        <v>0.99028760045613329</v>
      </c>
    </row>
    <row r="123" spans="2:13">
      <c r="B123" s="18">
        <v>112</v>
      </c>
      <c r="C123" s="18">
        <v>7423.6504999999997</v>
      </c>
      <c r="D123" s="18">
        <v>0.21854263336020716</v>
      </c>
      <c r="E123" s="18">
        <v>0.16269124149032788</v>
      </c>
      <c r="G123" s="18">
        <v>11279.358</v>
      </c>
      <c r="H123" s="18">
        <v>0.61468142220989097</v>
      </c>
      <c r="I123" s="18">
        <v>0.9159974396157986</v>
      </c>
      <c r="K123" s="18">
        <v>11.857151031494141</v>
      </c>
      <c r="L123" s="18">
        <v>0.71627427297029311</v>
      </c>
      <c r="M123" s="18">
        <v>0.99010233539283798</v>
      </c>
    </row>
    <row r="124" spans="2:13">
      <c r="B124" s="18">
        <v>113</v>
      </c>
      <c r="C124" s="18">
        <v>7424.4705000000004</v>
      </c>
      <c r="D124" s="18">
        <v>0.21733529032853616</v>
      </c>
      <c r="E124" s="18">
        <v>0.16245512798908707</v>
      </c>
      <c r="G124" s="18">
        <v>11283.663</v>
      </c>
      <c r="H124" s="18">
        <v>0.61467325914939563</v>
      </c>
      <c r="I124" s="18">
        <v>0.91550643853044456</v>
      </c>
      <c r="K124" s="18">
        <v>11.862974166870117</v>
      </c>
      <c r="L124" s="18">
        <v>0.71613627892706744</v>
      </c>
      <c r="M124" s="18">
        <v>0.99003801891547971</v>
      </c>
    </row>
    <row r="125" spans="2:13">
      <c r="B125" s="18">
        <v>114</v>
      </c>
      <c r="C125" s="18">
        <v>7430.6975000000002</v>
      </c>
      <c r="D125" s="18">
        <v>0.21507835997329947</v>
      </c>
      <c r="E125" s="18">
        <v>0.16066781693287274</v>
      </c>
      <c r="G125" s="18">
        <v>11296.22</v>
      </c>
      <c r="H125" s="18">
        <v>0.6146650960889003</v>
      </c>
      <c r="I125" s="18">
        <v>0.91405973484535652</v>
      </c>
      <c r="K125" s="18">
        <v>11.87614631652832</v>
      </c>
      <c r="L125" s="18">
        <v>0.71609174803926456</v>
      </c>
      <c r="M125" s="18">
        <v>0.98989108896815226</v>
      </c>
    </row>
    <row r="126" spans="2:13">
      <c r="B126" s="18">
        <v>115</v>
      </c>
      <c r="C126" s="18">
        <v>7436.7775000000001</v>
      </c>
      <c r="D126" s="18">
        <v>0.21387101694162847</v>
      </c>
      <c r="E126" s="18">
        <v>0.15893247639679969</v>
      </c>
      <c r="G126" s="18">
        <v>11296.544</v>
      </c>
      <c r="H126" s="18">
        <v>0.61452710204567462</v>
      </c>
      <c r="I126" s="18">
        <v>0.91402211850619675</v>
      </c>
      <c r="K126" s="18">
        <v>11.880672454833984</v>
      </c>
      <c r="L126" s="18">
        <v>0.71608358497876923</v>
      </c>
      <c r="M126" s="18">
        <v>0.98984013606012056</v>
      </c>
    </row>
    <row r="127" spans="2:13">
      <c r="B127" s="18">
        <v>116</v>
      </c>
      <c r="C127" s="18">
        <v>7441.2929999999997</v>
      </c>
      <c r="D127" s="18">
        <v>0.21161408658639178</v>
      </c>
      <c r="E127" s="18">
        <v>0.15764995457600692</v>
      </c>
      <c r="G127" s="18">
        <v>11297.424000000001</v>
      </c>
      <c r="H127" s="18">
        <v>0.61448257115787175</v>
      </c>
      <c r="I127" s="18">
        <v>0.91391987723745727</v>
      </c>
      <c r="K127" s="18">
        <v>11.881376266479492</v>
      </c>
      <c r="L127" s="18">
        <v>0.71603905409096635</v>
      </c>
      <c r="M127" s="18">
        <v>0.98983219139036893</v>
      </c>
    </row>
    <row r="128" spans="2:13">
      <c r="B128" s="18">
        <v>117</v>
      </c>
      <c r="C128" s="18">
        <v>7442.1954999999998</v>
      </c>
      <c r="D128" s="18">
        <v>0.20935715623115508</v>
      </c>
      <c r="E128" s="18">
        <v>0.15739426481971561</v>
      </c>
      <c r="G128" s="18">
        <v>11298.531000000001</v>
      </c>
      <c r="H128" s="18">
        <v>0.61443804027006887</v>
      </c>
      <c r="I128" s="18">
        <v>0.91379110980497902</v>
      </c>
      <c r="K128" s="18">
        <v>11.895634651184082</v>
      </c>
      <c r="L128" s="18">
        <v>0.71603089103047102</v>
      </c>
      <c r="M128" s="18">
        <v>0.98966998653323945</v>
      </c>
    </row>
    <row r="129" spans="2:13">
      <c r="B129" s="18">
        <v>118</v>
      </c>
      <c r="C129" s="18">
        <v>7444.4849999999997</v>
      </c>
      <c r="D129" s="18">
        <v>0.20710022587591839</v>
      </c>
      <c r="E129" s="18">
        <v>0.15674658516214937</v>
      </c>
      <c r="G129" s="18">
        <v>11299.42</v>
      </c>
      <c r="H129" s="18">
        <v>0.61442987720957354</v>
      </c>
      <c r="I129" s="18">
        <v>0.91368757718071425</v>
      </c>
      <c r="K129" s="18">
        <v>11.896761894226074</v>
      </c>
      <c r="L129" s="18">
        <v>0.71602272796997568</v>
      </c>
      <c r="M129" s="18">
        <v>0.98965706032240397</v>
      </c>
    </row>
    <row r="130" spans="2:13">
      <c r="B130" s="18">
        <v>119</v>
      </c>
      <c r="C130" s="18">
        <v>7455.1854999999996</v>
      </c>
      <c r="D130" s="18">
        <v>0.2048432955206817</v>
      </c>
      <c r="E130" s="18">
        <v>0.15373792923894325</v>
      </c>
      <c r="G130" s="18">
        <v>11300.178</v>
      </c>
      <c r="H130" s="18">
        <v>0.61429188316634786</v>
      </c>
      <c r="I130" s="18">
        <v>0.91359921402531441</v>
      </c>
      <c r="K130" s="18">
        <v>11.905855178833008</v>
      </c>
      <c r="L130" s="18">
        <v>0.71597819708217281</v>
      </c>
      <c r="M130" s="18">
        <v>0.98955223270918879</v>
      </c>
    </row>
    <row r="131" spans="2:13">
      <c r="B131" s="18">
        <v>120</v>
      </c>
      <c r="C131" s="18">
        <v>7463.0715</v>
      </c>
      <c r="D131" s="18">
        <v>0.20258636516544501</v>
      </c>
      <c r="E131" s="18">
        <v>0.15154016132378864</v>
      </c>
      <c r="G131" s="18">
        <v>11321.169</v>
      </c>
      <c r="H131" s="18">
        <v>0.61415388912312219</v>
      </c>
      <c r="I131" s="18">
        <v>0.91112025837253152</v>
      </c>
      <c r="K131" s="18">
        <v>11.90787410736084</v>
      </c>
      <c r="L131" s="18">
        <v>0.71593366619436993</v>
      </c>
      <c r="M131" s="18">
        <v>0.9895288241969703</v>
      </c>
    </row>
    <row r="132" spans="2:13">
      <c r="B132" s="18">
        <v>121</v>
      </c>
      <c r="C132" s="18">
        <v>7463.2389999999996</v>
      </c>
      <c r="D132" s="18">
        <v>0.20204424909487492</v>
      </c>
      <c r="E132" s="18">
        <v>0.15149366104041664</v>
      </c>
      <c r="G132" s="18">
        <v>11337.442999999999</v>
      </c>
      <c r="H132" s="18">
        <v>0.61414572606262685</v>
      </c>
      <c r="I132" s="18">
        <v>0.90915541157364144</v>
      </c>
      <c r="K132" s="18">
        <v>11.921449661254883</v>
      </c>
      <c r="L132" s="18">
        <v>0.71579567215114426</v>
      </c>
      <c r="M132" s="18">
        <v>0.98937014525345768</v>
      </c>
    </row>
    <row r="133" spans="2:13">
      <c r="B133" s="18">
        <v>122</v>
      </c>
      <c r="C133" s="18">
        <v>7463.3694999999998</v>
      </c>
      <c r="D133" s="18">
        <v>0.19978731873963823</v>
      </c>
      <c r="E133" s="18">
        <v>0.15145743768140793</v>
      </c>
      <c r="G133" s="18">
        <v>11346.483</v>
      </c>
      <c r="H133" s="18">
        <v>0.61400773201940118</v>
      </c>
      <c r="I133" s="18">
        <v>0.90804752175202263</v>
      </c>
      <c r="K133" s="18">
        <v>11.946213722229004</v>
      </c>
      <c r="L133" s="18">
        <v>0.71565767810791858</v>
      </c>
      <c r="M133" s="18">
        <v>0.98907488788191955</v>
      </c>
    </row>
    <row r="134" spans="2:13">
      <c r="B134" s="18">
        <v>123</v>
      </c>
      <c r="C134" s="18">
        <v>7469.7719999999999</v>
      </c>
      <c r="D134" s="18">
        <v>0.19629052810668696</v>
      </c>
      <c r="E134" s="18">
        <v>0.1496858964679641</v>
      </c>
      <c r="G134" s="18">
        <v>11360.764999999999</v>
      </c>
      <c r="H134" s="18">
        <v>0.61399956895890584</v>
      </c>
      <c r="I134" s="18">
        <v>0.90627297555105879</v>
      </c>
      <c r="K134" s="18">
        <v>11.960766792297363</v>
      </c>
      <c r="L134" s="18">
        <v>0.71551968406469291</v>
      </c>
      <c r="M134" s="18">
        <v>0.98889781923864573</v>
      </c>
    </row>
    <row r="135" spans="2:13">
      <c r="B135" s="18">
        <v>124</v>
      </c>
      <c r="C135" s="18">
        <v>7470.3545000000004</v>
      </c>
      <c r="D135" s="18">
        <v>0.19403359775145027</v>
      </c>
      <c r="E135" s="18">
        <v>0.1495252695466614</v>
      </c>
      <c r="G135" s="18">
        <v>11369.629000000001</v>
      </c>
      <c r="H135" s="18">
        <v>0.61386157491568016</v>
      </c>
      <c r="I135" s="18">
        <v>0.90515654758482356</v>
      </c>
      <c r="K135" s="18">
        <v>11.964569091796875</v>
      </c>
      <c r="L135" s="18">
        <v>0.71547515317689003</v>
      </c>
      <c r="M135" s="18">
        <v>0.98885111669041537</v>
      </c>
    </row>
    <row r="136" spans="2:13">
      <c r="B136" s="18">
        <v>125</v>
      </c>
      <c r="C136" s="18">
        <v>7472.0140000000001</v>
      </c>
      <c r="D136" s="18">
        <v>0.19282625471977927</v>
      </c>
      <c r="E136" s="18">
        <v>0.14906815740147839</v>
      </c>
      <c r="G136" s="18">
        <v>11371.81</v>
      </c>
      <c r="H136" s="18">
        <v>0.61385341185518483</v>
      </c>
      <c r="I136" s="18">
        <v>0.90488006559158485</v>
      </c>
      <c r="K136" s="18">
        <v>11.974716186523438</v>
      </c>
      <c r="L136" s="18">
        <v>0.71533715913366436</v>
      </c>
      <c r="M136" s="18">
        <v>0.98872558322738668</v>
      </c>
    </row>
    <row r="137" spans="2:13">
      <c r="B137" s="18">
        <v>126</v>
      </c>
      <c r="C137" s="18">
        <v>7476.1014999999998</v>
      </c>
      <c r="D137" s="18">
        <v>0.19228413864920918</v>
      </c>
      <c r="E137" s="18">
        <v>0.14794542436002467</v>
      </c>
      <c r="G137" s="18">
        <v>11373.200999999999</v>
      </c>
      <c r="H137" s="18">
        <v>0.61371541781195915</v>
      </c>
      <c r="I137" s="18">
        <v>0.90470336146061026</v>
      </c>
      <c r="K137" s="18">
        <v>11.9832763671875</v>
      </c>
      <c r="L137" s="18">
        <v>0.71519916509043868</v>
      </c>
      <c r="M137" s="18">
        <v>0.98861865699276363</v>
      </c>
    </row>
    <row r="138" spans="2:13">
      <c r="B138" s="18">
        <v>127</v>
      </c>
      <c r="C138" s="18">
        <v>7481.8190000000004</v>
      </c>
      <c r="D138" s="18">
        <v>0.19002720829397249</v>
      </c>
      <c r="E138" s="18">
        <v>0.14638257172049307</v>
      </c>
      <c r="G138" s="18">
        <v>11379.162</v>
      </c>
      <c r="H138" s="18">
        <v>0.61370725475146382</v>
      </c>
      <c r="I138" s="18">
        <v>0.90394284644635448</v>
      </c>
      <c r="K138" s="18">
        <v>11.988593101501465</v>
      </c>
      <c r="L138" s="18">
        <v>0.71515463420263581</v>
      </c>
      <c r="M138" s="18">
        <v>0.98855176915001441</v>
      </c>
    </row>
    <row r="139" spans="2:13">
      <c r="B139" s="18">
        <v>128</v>
      </c>
      <c r="C139" s="18">
        <v>7484.2214999999997</v>
      </c>
      <c r="D139" s="18">
        <v>0.1877702779387358</v>
      </c>
      <c r="E139" s="18">
        <v>0.14572851176562884</v>
      </c>
      <c r="G139" s="18">
        <v>11383.141</v>
      </c>
      <c r="H139" s="18">
        <v>0.61369909169096848</v>
      </c>
      <c r="I139" s="18">
        <v>0.90343224087441698</v>
      </c>
      <c r="K139" s="18">
        <v>12.017244338989258</v>
      </c>
      <c r="L139" s="18">
        <v>0.71511010331483293</v>
      </c>
      <c r="M139" s="18">
        <v>0.98818495626276148</v>
      </c>
    </row>
    <row r="140" spans="2:13">
      <c r="B140" s="18">
        <v>129</v>
      </c>
      <c r="C140" s="18">
        <v>7485.4080000000004</v>
      </c>
      <c r="D140" s="18">
        <v>0.18551334758349911</v>
      </c>
      <c r="E140" s="18">
        <v>0.14540607761087701</v>
      </c>
      <c r="G140" s="18">
        <v>11386.744000000001</v>
      </c>
      <c r="H140" s="18">
        <v>0.61365456080316561</v>
      </c>
      <c r="I140" s="18">
        <v>0.90296783432353689</v>
      </c>
      <c r="K140" s="18">
        <v>12.03697681427002</v>
      </c>
      <c r="L140" s="18">
        <v>0.71506557242703006</v>
      </c>
      <c r="M140" s="18">
        <v>0.98792597922880465</v>
      </c>
    </row>
    <row r="141" spans="2:13">
      <c r="B141" s="18">
        <v>130</v>
      </c>
      <c r="C141" s="18">
        <v>7486.9155000000001</v>
      </c>
      <c r="D141" s="18">
        <v>0.18325641722826241</v>
      </c>
      <c r="E141" s="18">
        <v>0.14499696500513243</v>
      </c>
      <c r="G141" s="18">
        <v>11387.923000000001</v>
      </c>
      <c r="H141" s="18">
        <v>0.61364639774267027</v>
      </c>
      <c r="I141" s="18">
        <v>0.90281544336014818</v>
      </c>
      <c r="K141" s="18">
        <v>12.043862342834473</v>
      </c>
      <c r="L141" s="18">
        <v>0.71492757838380439</v>
      </c>
      <c r="M141" s="18">
        <v>0.98783437070200353</v>
      </c>
    </row>
    <row r="142" spans="2:13">
      <c r="B142" s="18">
        <v>131</v>
      </c>
      <c r="C142" s="18">
        <v>7492.2110000000002</v>
      </c>
      <c r="D142" s="18">
        <v>0.18204907419659141</v>
      </c>
      <c r="E142" s="18">
        <v>0.14356477046418462</v>
      </c>
      <c r="G142" s="18">
        <v>11389.672</v>
      </c>
      <c r="H142" s="18">
        <v>0.61350840369944459</v>
      </c>
      <c r="I142" s="18">
        <v>0.90258899107659651</v>
      </c>
      <c r="K142" s="18">
        <v>12.045499801635742</v>
      </c>
      <c r="L142" s="18">
        <v>0.71488304749600151</v>
      </c>
      <c r="M142" s="18">
        <v>0.98781248986126102</v>
      </c>
    </row>
    <row r="143" spans="2:13">
      <c r="B143" s="18">
        <v>132</v>
      </c>
      <c r="C143" s="18">
        <v>7497.8474999999999</v>
      </c>
      <c r="D143" s="18">
        <v>0.17979214384135472</v>
      </c>
      <c r="E143" s="18">
        <v>0.14204879595930481</v>
      </c>
      <c r="G143" s="18">
        <v>11390.313</v>
      </c>
      <c r="H143" s="18">
        <v>0.61350024063894926</v>
      </c>
      <c r="I143" s="18">
        <v>0.90250588172801105</v>
      </c>
      <c r="K143" s="18">
        <v>12.046049118041992</v>
      </c>
      <c r="L143" s="18">
        <v>0.71474505345277584</v>
      </c>
      <c r="M143" s="18">
        <v>0.98780514129767216</v>
      </c>
    </row>
    <row r="144" spans="2:13">
      <c r="B144" s="18">
        <v>133</v>
      </c>
      <c r="C144" s="18">
        <v>7506.7759999999998</v>
      </c>
      <c r="D144" s="18">
        <v>0.17858480080968372</v>
      </c>
      <c r="E144" s="18">
        <v>0.13966531686722947</v>
      </c>
      <c r="G144" s="18">
        <v>11391.239</v>
      </c>
      <c r="H144" s="18">
        <v>0.61336224659572358</v>
      </c>
      <c r="I144" s="18">
        <v>0.90238571080130436</v>
      </c>
      <c r="K144" s="18">
        <v>12.054322242736816</v>
      </c>
      <c r="L144" s="18">
        <v>0.7147368903922805</v>
      </c>
      <c r="M144" s="18">
        <v>0.98769396500644191</v>
      </c>
    </row>
    <row r="145" spans="2:13">
      <c r="B145" s="18">
        <v>134</v>
      </c>
      <c r="C145" s="18">
        <v>7510.8554999999997</v>
      </c>
      <c r="D145" s="18">
        <v>0.17632787045444703</v>
      </c>
      <c r="E145" s="18">
        <v>0.13858362065508703</v>
      </c>
      <c r="G145" s="18">
        <v>11392.88</v>
      </c>
      <c r="H145" s="18">
        <v>0.61331771570792071</v>
      </c>
      <c r="I145" s="18">
        <v>0.90217243258417312</v>
      </c>
      <c r="K145" s="18">
        <v>12.063288688659668</v>
      </c>
      <c r="L145" s="18">
        <v>0.71472872733178516</v>
      </c>
      <c r="M145" s="18">
        <v>0.98757240405709878</v>
      </c>
    </row>
    <row r="146" spans="2:13">
      <c r="B146" s="18">
        <v>135</v>
      </c>
      <c r="C146" s="18">
        <v>7514.1364999999996</v>
      </c>
      <c r="D146" s="18">
        <v>0.17407094009921034</v>
      </c>
      <c r="E146" s="18">
        <v>0.13771699866117387</v>
      </c>
      <c r="G146" s="18">
        <v>11400.709000000001</v>
      </c>
      <c r="H146" s="18">
        <v>0.61327318482011783</v>
      </c>
      <c r="I146" s="18">
        <v>0.90114928246331771</v>
      </c>
      <c r="K146" s="18">
        <v>12.077924728393555</v>
      </c>
      <c r="L146" s="18">
        <v>0.71468419644398229</v>
      </c>
      <c r="M146" s="18">
        <v>0.98737156869321518</v>
      </c>
    </row>
    <row r="147" spans="2:13">
      <c r="B147" s="18">
        <v>136</v>
      </c>
      <c r="C147" s="18">
        <v>7514.665</v>
      </c>
      <c r="D147" s="18">
        <v>0.17181400974397365</v>
      </c>
      <c r="E147" s="18">
        <v>0.13757768372382304</v>
      </c>
      <c r="G147" s="18">
        <v>11408.696</v>
      </c>
      <c r="H147" s="18">
        <v>0.61322865393231496</v>
      </c>
      <c r="I147" s="18">
        <v>0.90009584590731639</v>
      </c>
      <c r="K147" s="18">
        <v>12.100709915161133</v>
      </c>
      <c r="L147" s="18">
        <v>0.71463966555617942</v>
      </c>
      <c r="M147" s="18">
        <v>0.98705287540382036</v>
      </c>
    </row>
    <row r="148" spans="2:13">
      <c r="B148" s="18">
        <v>137</v>
      </c>
      <c r="C148" s="18">
        <v>7520.9624999999996</v>
      </c>
      <c r="D148" s="18">
        <v>0.16955707938873696</v>
      </c>
      <c r="E148" s="18">
        <v>0.13592361687873372</v>
      </c>
      <c r="G148" s="18">
        <v>11415.834000000001</v>
      </c>
      <c r="H148" s="18">
        <v>0.61322049087181962</v>
      </c>
      <c r="I148" s="18">
        <v>0.8991460937483422</v>
      </c>
      <c r="K148" s="18">
        <v>12.110803604125977</v>
      </c>
      <c r="L148" s="18">
        <v>0.71459513466837654</v>
      </c>
      <c r="M148" s="18">
        <v>0.98690931201394261</v>
      </c>
    </row>
    <row r="149" spans="2:13">
      <c r="B149" s="18">
        <v>138</v>
      </c>
      <c r="C149" s="18">
        <v>7535.7534999999998</v>
      </c>
      <c r="D149" s="18">
        <v>0.16730014903350027</v>
      </c>
      <c r="E149" s="18">
        <v>0.13208227965943892</v>
      </c>
      <c r="G149" s="18">
        <v>11425.584000000001</v>
      </c>
      <c r="H149" s="18">
        <v>0.61308249682859395</v>
      </c>
      <c r="I149" s="18">
        <v>0.89783605755756501</v>
      </c>
      <c r="K149" s="18">
        <v>12.118688583374023</v>
      </c>
      <c r="L149" s="18">
        <v>0.71455060378057367</v>
      </c>
      <c r="M149" s="18">
        <v>0.98679613174646164</v>
      </c>
    </row>
    <row r="150" spans="2:13">
      <c r="B150" s="18">
        <v>139</v>
      </c>
      <c r="C150" s="18">
        <v>7557.6009999999997</v>
      </c>
      <c r="D150" s="18">
        <v>0.16609280600182927</v>
      </c>
      <c r="E150" s="18">
        <v>0.12652102800060189</v>
      </c>
      <c r="G150" s="18">
        <v>11427.796</v>
      </c>
      <c r="H150" s="18">
        <v>0.61307433376809861</v>
      </c>
      <c r="I150" s="18">
        <v>0.89753678809079751</v>
      </c>
      <c r="K150" s="18">
        <v>12.119532585144043</v>
      </c>
      <c r="L150" s="18">
        <v>0.71441260973734799</v>
      </c>
      <c r="M150" s="18">
        <v>0.98678396309808702</v>
      </c>
    </row>
    <row r="151" spans="2:13">
      <c r="B151" s="18">
        <v>140</v>
      </c>
      <c r="C151" s="18">
        <v>7557.8909999999996</v>
      </c>
      <c r="D151" s="18">
        <v>0.16488546297015827</v>
      </c>
      <c r="E151" s="18">
        <v>0.12644811846757054</v>
      </c>
      <c r="G151" s="18">
        <v>11430.508</v>
      </c>
      <c r="H151" s="18">
        <v>0.61293633972487294</v>
      </c>
      <c r="I151" s="18">
        <v>0.89716882808566423</v>
      </c>
      <c r="K151" s="18">
        <v>12.124018669128418</v>
      </c>
      <c r="L151" s="18">
        <v>0.71436807884954512</v>
      </c>
      <c r="M151" s="18">
        <v>0.9867191078978893</v>
      </c>
    </row>
    <row r="152" spans="2:13">
      <c r="B152" s="18">
        <v>141</v>
      </c>
      <c r="C152" s="18">
        <v>7558.4939999999997</v>
      </c>
      <c r="D152" s="18">
        <v>0.16262853261492158</v>
      </c>
      <c r="E152" s="18">
        <v>0.12629659348625688</v>
      </c>
      <c r="G152" s="18">
        <v>11447.975</v>
      </c>
      <c r="H152" s="18">
        <v>0.6129281766643776</v>
      </c>
      <c r="I152" s="18">
        <v>0.89477120264521448</v>
      </c>
      <c r="K152" s="18">
        <v>12.164920806884766</v>
      </c>
      <c r="L152" s="18">
        <v>0.71435991578904978</v>
      </c>
      <c r="M152" s="18">
        <v>0.98611394358558957</v>
      </c>
    </row>
    <row r="153" spans="2:13">
      <c r="B153" s="18">
        <v>142</v>
      </c>
      <c r="C153" s="18">
        <v>7560.4939999999997</v>
      </c>
      <c r="D153" s="18">
        <v>0.16037160225968489</v>
      </c>
      <c r="E153" s="18">
        <v>0.12579476361727263</v>
      </c>
      <c r="G153" s="18">
        <v>11448.995999999999</v>
      </c>
      <c r="H153" s="18">
        <v>0.61288364577657473</v>
      </c>
      <c r="I153" s="18">
        <v>0.894629559802948</v>
      </c>
      <c r="K153" s="18">
        <v>12.205229759216309</v>
      </c>
      <c r="L153" s="18">
        <v>0.71431538490124691</v>
      </c>
      <c r="M153" s="18">
        <v>0.98549248497684849</v>
      </c>
    </row>
    <row r="154" spans="2:13">
      <c r="B154" s="18">
        <v>143</v>
      </c>
      <c r="C154" s="18">
        <v>7561.2879999999996</v>
      </c>
      <c r="D154" s="18">
        <v>0.15916425922801389</v>
      </c>
      <c r="E154" s="18">
        <v>0.12559585289050113</v>
      </c>
      <c r="G154" s="18">
        <v>11452.532999999999</v>
      </c>
      <c r="H154" s="18">
        <v>0.61283911488877185</v>
      </c>
      <c r="I154" s="18">
        <v>0.89413758912864094</v>
      </c>
      <c r="K154" s="18">
        <v>12.224136352539063</v>
      </c>
      <c r="L154" s="18">
        <v>0.71430722184075157</v>
      </c>
      <c r="M154" s="18">
        <v>0.98519215056958409</v>
      </c>
    </row>
    <row r="155" spans="2:13">
      <c r="B155" s="18">
        <v>144</v>
      </c>
      <c r="C155" s="18">
        <v>7561.9870000000001</v>
      </c>
      <c r="D155" s="18">
        <v>0.15795691619634289</v>
      </c>
      <c r="E155" s="18">
        <v>0.1254208899108146</v>
      </c>
      <c r="G155" s="18">
        <v>11454.251</v>
      </c>
      <c r="H155" s="18">
        <v>0.61279458400096898</v>
      </c>
      <c r="I155" s="18">
        <v>0.89389790742993802</v>
      </c>
      <c r="K155" s="18">
        <v>12.239339828491211</v>
      </c>
      <c r="L155" s="18">
        <v>0.7142626909529487</v>
      </c>
      <c r="M155" s="18">
        <v>0.98494644894407057</v>
      </c>
    </row>
    <row r="156" spans="2:13">
      <c r="B156" s="18">
        <v>145</v>
      </c>
      <c r="C156" s="18">
        <v>7564.3370000000004</v>
      </c>
      <c r="D156" s="18">
        <v>0.15674957316467189</v>
      </c>
      <c r="E156" s="18">
        <v>0.12483369474389883</v>
      </c>
      <c r="G156" s="18">
        <v>11466.591</v>
      </c>
      <c r="H156" s="18">
        <v>0.6126565899577433</v>
      </c>
      <c r="I156" s="18">
        <v>0.89216241318393152</v>
      </c>
      <c r="K156" s="18">
        <v>12.245086669921875</v>
      </c>
      <c r="L156" s="18">
        <v>0.71425452789245336</v>
      </c>
      <c r="M156" s="18">
        <v>0.98485258967596823</v>
      </c>
    </row>
    <row r="157" spans="2:13">
      <c r="B157" s="18">
        <v>146</v>
      </c>
      <c r="C157" s="18">
        <v>7571.8869999999997</v>
      </c>
      <c r="D157" s="18">
        <v>0.15554223013300089</v>
      </c>
      <c r="E157" s="18">
        <v>0.12295783968349673</v>
      </c>
      <c r="G157" s="18">
        <v>11471.838</v>
      </c>
      <c r="H157" s="18">
        <v>0.61264842689724797</v>
      </c>
      <c r="I157" s="18">
        <v>0.89141703317595833</v>
      </c>
      <c r="K157" s="18">
        <v>12.272363662719727</v>
      </c>
      <c r="L157" s="18">
        <v>0.71420999700465049</v>
      </c>
      <c r="M157" s="18">
        <v>0.9843996114160749</v>
      </c>
    </row>
    <row r="158" spans="2:13">
      <c r="B158" s="18">
        <v>147</v>
      </c>
      <c r="C158" s="18">
        <v>7574.9324999999999</v>
      </c>
      <c r="D158" s="18">
        <v>0.1532852997777642</v>
      </c>
      <c r="E158" s="18">
        <v>0.12220577485149756</v>
      </c>
      <c r="G158" s="18">
        <v>11495.041999999999</v>
      </c>
      <c r="H158" s="18">
        <v>0.59592972045673598</v>
      </c>
      <c r="I158" s="18">
        <v>0.8880668391437383</v>
      </c>
      <c r="K158" s="18">
        <v>12.332560539245605</v>
      </c>
      <c r="L158" s="18">
        <v>0.71416546611684761</v>
      </c>
      <c r="M158" s="18">
        <v>0.98335493592253709</v>
      </c>
    </row>
    <row r="159" spans="2:13">
      <c r="B159" s="18">
        <v>148</v>
      </c>
      <c r="C159" s="18">
        <v>7576.43</v>
      </c>
      <c r="D159" s="18">
        <v>0.15274318370719411</v>
      </c>
      <c r="E159" s="18">
        <v>0.12183695187316619</v>
      </c>
      <c r="G159" s="18">
        <v>11496.522000000001</v>
      </c>
      <c r="H159" s="18">
        <v>0.5958851895689331</v>
      </c>
      <c r="I159" s="18">
        <v>0.88785015025696479</v>
      </c>
      <c r="K159" s="18">
        <v>12.341717720031738</v>
      </c>
      <c r="L159" s="18">
        <v>0.71412093522904474</v>
      </c>
      <c r="M159" s="18">
        <v>0.98319042795192857</v>
      </c>
    </row>
    <row r="160" spans="2:13">
      <c r="B160" s="18">
        <v>149</v>
      </c>
      <c r="C160" s="18">
        <v>7584.6274999999996</v>
      </c>
      <c r="D160" s="18">
        <v>0.15273502064669872</v>
      </c>
      <c r="E160" s="18">
        <v>0.11982936816084647</v>
      </c>
      <c r="G160" s="18">
        <v>11497.657999999999</v>
      </c>
      <c r="H160" s="18">
        <v>0.59587702650843777</v>
      </c>
      <c r="I160" s="18">
        <v>0.88768358055460239</v>
      </c>
      <c r="K160" s="18">
        <v>12.349394798278809</v>
      </c>
      <c r="L160" s="18">
        <v>0.71407640434124187</v>
      </c>
      <c r="M160" s="18">
        <v>0.98305134510435055</v>
      </c>
    </row>
    <row r="161" spans="2:13">
      <c r="B161" s="18">
        <v>150</v>
      </c>
      <c r="C161" s="18">
        <v>7587.8540000000003</v>
      </c>
      <c r="D161" s="18">
        <v>0.15047809029146203</v>
      </c>
      <c r="E161" s="18">
        <v>0.11904448735538999</v>
      </c>
      <c r="G161" s="18">
        <v>11498.441999999999</v>
      </c>
      <c r="H161" s="18">
        <v>0.59573903246521209</v>
      </c>
      <c r="I161" s="18">
        <v>0.88756849910312441</v>
      </c>
      <c r="K161" s="18">
        <v>12.354214668273926</v>
      </c>
      <c r="L161" s="18">
        <v>0.71393841029801619</v>
      </c>
      <c r="M161" s="18">
        <v>0.98296347880005441</v>
      </c>
    </row>
    <row r="162" spans="2:13">
      <c r="B162" s="18">
        <v>151</v>
      </c>
      <c r="C162" s="18">
        <v>7588.0135</v>
      </c>
      <c r="D162" s="18">
        <v>0.14927074725979103</v>
      </c>
      <c r="E162" s="18">
        <v>0.11900576496422363</v>
      </c>
      <c r="G162" s="18">
        <v>11507.633</v>
      </c>
      <c r="H162" s="18">
        <v>0.59573086940471676</v>
      </c>
      <c r="I162" s="18">
        <v>0.88621174407993097</v>
      </c>
      <c r="K162" s="18">
        <v>12.355725288391113</v>
      </c>
      <c r="L162" s="18">
        <v>0.71389387941021332</v>
      </c>
      <c r="M162" s="18">
        <v>0.98293585304232767</v>
      </c>
    </row>
    <row r="163" spans="2:13">
      <c r="B163" s="18">
        <v>152</v>
      </c>
      <c r="C163" s="18">
        <v>7588.027</v>
      </c>
      <c r="D163" s="18">
        <v>0.14922621637198816</v>
      </c>
      <c r="E163" s="18">
        <v>0.11900248785659817</v>
      </c>
      <c r="G163" s="18">
        <v>11508.758</v>
      </c>
      <c r="H163" s="18">
        <v>0.59559287536149108</v>
      </c>
      <c r="I163" s="18">
        <v>0.88604470517020584</v>
      </c>
      <c r="K163" s="18">
        <v>12.36133861541748</v>
      </c>
      <c r="L163" s="18">
        <v>0.71384934852241044</v>
      </c>
      <c r="M163" s="18">
        <v>0.98283283256489951</v>
      </c>
    </row>
    <row r="164" spans="2:13">
      <c r="B164" s="18">
        <v>153</v>
      </c>
      <c r="C164" s="18">
        <v>7593.415</v>
      </c>
      <c r="D164" s="18">
        <v>0.14696928601675147</v>
      </c>
      <c r="E164" s="18">
        <v>0.11769874928061695</v>
      </c>
      <c r="G164" s="18">
        <v>11512.828</v>
      </c>
      <c r="H164" s="18">
        <v>0.59545488131826541</v>
      </c>
      <c r="I164" s="18">
        <v>0.88543862324736511</v>
      </c>
      <c r="K164" s="18">
        <v>12.365097045898438</v>
      </c>
      <c r="L164" s="18">
        <v>0.71380481763460757</v>
      </c>
      <c r="M164" s="18">
        <v>0.98276353154218166</v>
      </c>
    </row>
    <row r="165" spans="2:13">
      <c r="B165" s="18">
        <v>154</v>
      </c>
      <c r="C165" s="18">
        <v>7594.0339999999997</v>
      </c>
      <c r="D165" s="18">
        <v>0.14471235566151477</v>
      </c>
      <c r="E165" s="18">
        <v>0.11754950526069433</v>
      </c>
      <c r="G165" s="18">
        <v>11520.924999999999</v>
      </c>
      <c r="H165" s="18">
        <v>0.59544671825777007</v>
      </c>
      <c r="I165" s="18">
        <v>0.88422457470063565</v>
      </c>
      <c r="K165" s="18">
        <v>12.380829811096191</v>
      </c>
      <c r="L165" s="18">
        <v>0.7137602867468047</v>
      </c>
      <c r="M165" s="18">
        <v>0.9824706029434771</v>
      </c>
    </row>
    <row r="166" spans="2:13">
      <c r="B166" s="18">
        <v>155</v>
      </c>
      <c r="C166" s="18">
        <v>7594.3635000000004</v>
      </c>
      <c r="D166" s="18">
        <v>0.14350501262984378</v>
      </c>
      <c r="E166" s="18">
        <v>0.11747010622533134</v>
      </c>
      <c r="G166" s="18">
        <v>11542.385</v>
      </c>
      <c r="H166" s="18">
        <v>0.5954021873699672</v>
      </c>
      <c r="I166" s="18">
        <v>0.88095304677772457</v>
      </c>
      <c r="K166" s="18">
        <v>12.389643669128418</v>
      </c>
      <c r="L166" s="18">
        <v>0.71371575585900182</v>
      </c>
      <c r="M166" s="18">
        <v>0.98230448016026894</v>
      </c>
    </row>
    <row r="167" spans="2:13">
      <c r="B167" s="18">
        <v>156</v>
      </c>
      <c r="C167" s="18">
        <v>7599.8755000000001</v>
      </c>
      <c r="D167" s="18">
        <v>0.14229766959817278</v>
      </c>
      <c r="E167" s="18">
        <v>0.11614653650983812</v>
      </c>
      <c r="G167" s="18">
        <v>11547.934999999999</v>
      </c>
      <c r="H167" s="18">
        <v>0.59526419332674152</v>
      </c>
      <c r="I167" s="18">
        <v>0.88009411158687478</v>
      </c>
      <c r="K167" s="18">
        <v>12.39626407623291</v>
      </c>
      <c r="L167" s="18">
        <v>0.71370759279850648</v>
      </c>
      <c r="M167" s="18">
        <v>0.98217873747561513</v>
      </c>
    </row>
    <row r="168" spans="2:13">
      <c r="B168" s="18">
        <v>157</v>
      </c>
      <c r="C168" s="18">
        <v>7599.99</v>
      </c>
      <c r="D168" s="18">
        <v>0.14215967555494713</v>
      </c>
      <c r="E168" s="18">
        <v>0.11611913522656822</v>
      </c>
      <c r="G168" s="18">
        <v>11556.199000000001</v>
      </c>
      <c r="H168" s="18">
        <v>0.59521966243893865</v>
      </c>
      <c r="I168" s="18">
        <v>0.87880526983804041</v>
      </c>
      <c r="K168" s="18">
        <v>12.404642105102539</v>
      </c>
      <c r="L168" s="18">
        <v>0.71366306191070361</v>
      </c>
      <c r="M168" s="18">
        <v>0.98201842052215726</v>
      </c>
    </row>
    <row r="169" spans="2:13">
      <c r="B169" s="18">
        <v>158</v>
      </c>
      <c r="C169" s="18">
        <v>7602.01</v>
      </c>
      <c r="D169" s="18">
        <v>0.14095233252327613</v>
      </c>
      <c r="E169" s="18">
        <v>0.11563634717472361</v>
      </c>
      <c r="G169" s="18">
        <v>11571.634</v>
      </c>
      <c r="H169" s="18">
        <v>0.57850095599842666</v>
      </c>
      <c r="I169" s="18">
        <v>0.87636614441177907</v>
      </c>
      <c r="K169" s="18">
        <v>12.405790328979492</v>
      </c>
      <c r="L169" s="18">
        <v>0.71361853102290074</v>
      </c>
      <c r="M169" s="18">
        <v>0.98199634457740115</v>
      </c>
    </row>
    <row r="170" spans="2:13">
      <c r="B170" s="18">
        <v>159</v>
      </c>
      <c r="C170" s="18">
        <v>7605.9425000000001</v>
      </c>
      <c r="D170" s="18">
        <v>0.13869540216803944</v>
      </c>
      <c r="E170" s="18">
        <v>0.11469984969718719</v>
      </c>
      <c r="G170" s="18">
        <v>11579.456</v>
      </c>
      <c r="H170" s="18">
        <v>0.57849279293793132</v>
      </c>
      <c r="I170" s="18">
        <v>0.87511406827301796</v>
      </c>
      <c r="K170" s="18">
        <v>12.410969734191895</v>
      </c>
      <c r="L170" s="18">
        <v>0.71357400013509786</v>
      </c>
      <c r="M170" s="18">
        <v>0.98189645081065047</v>
      </c>
    </row>
    <row r="171" spans="2:13">
      <c r="B171" s="18">
        <v>160</v>
      </c>
      <c r="C171" s="18">
        <v>7611.4250000000002</v>
      </c>
      <c r="D171" s="18">
        <v>0.13748805913636844</v>
      </c>
      <c r="E171" s="18">
        <v>0.11340170507505529</v>
      </c>
      <c r="G171" s="18">
        <v>11590.161</v>
      </c>
      <c r="H171" s="18">
        <v>0.56177408649741933</v>
      </c>
      <c r="I171" s="18">
        <v>0.8733829076002837</v>
      </c>
      <c r="K171" s="18">
        <v>12.443376541137695</v>
      </c>
      <c r="L171" s="18">
        <v>0.71352946924729499</v>
      </c>
      <c r="M171" s="18">
        <v>0.98125963484204981</v>
      </c>
    </row>
    <row r="172" spans="2:13">
      <c r="B172" s="18">
        <v>161</v>
      </c>
      <c r="C172" s="18">
        <v>7630.9785000000002</v>
      </c>
      <c r="D172" s="18">
        <v>0.13523112878113175</v>
      </c>
      <c r="E172" s="18">
        <v>0.10884291534543157</v>
      </c>
      <c r="G172" s="18">
        <v>11597.001</v>
      </c>
      <c r="H172" s="18">
        <v>0.56172955560961646</v>
      </c>
      <c r="I172" s="18">
        <v>0.87226605625825582</v>
      </c>
      <c r="K172" s="18">
        <v>12.460427284240723</v>
      </c>
      <c r="L172" s="18">
        <v>0.71339147520406931</v>
      </c>
      <c r="M172" s="18">
        <v>0.9809162743740476</v>
      </c>
    </row>
    <row r="173" spans="2:13">
      <c r="B173" s="18">
        <v>162</v>
      </c>
      <c r="C173" s="18">
        <v>7637.3810000000003</v>
      </c>
      <c r="D173" s="18">
        <v>0.13297419842589506</v>
      </c>
      <c r="E173" s="18">
        <v>0.10737440253489434</v>
      </c>
      <c r="G173" s="18">
        <v>11601.86</v>
      </c>
      <c r="H173" s="18">
        <v>0.56159156156639078</v>
      </c>
      <c r="I173" s="18">
        <v>0.8714675600897126</v>
      </c>
      <c r="K173" s="18">
        <v>12.489338874816895</v>
      </c>
      <c r="L173" s="18">
        <v>0.71334694431626644</v>
      </c>
      <c r="M173" s="18">
        <v>0.98032067147552349</v>
      </c>
    </row>
    <row r="174" spans="2:13">
      <c r="B174" s="18">
        <v>163</v>
      </c>
      <c r="C174" s="18">
        <v>7644.1324999999997</v>
      </c>
      <c r="D174" s="18">
        <v>0.13176685539422406</v>
      </c>
      <c r="E174" s="18">
        <v>0.10583880258917225</v>
      </c>
      <c r="G174" s="18">
        <v>11605.085999999999</v>
      </c>
      <c r="H174" s="18">
        <v>0.56145356752316511</v>
      </c>
      <c r="I174" s="18">
        <v>0.87093506811763621</v>
      </c>
      <c r="K174" s="18">
        <v>12.504961967468262</v>
      </c>
      <c r="L174" s="18">
        <v>0.7133387812557711</v>
      </c>
      <c r="M174" s="18">
        <v>0.97999167903358275</v>
      </c>
    </row>
    <row r="175" spans="2:13">
      <c r="B175" s="18">
        <v>164</v>
      </c>
      <c r="C175" s="18">
        <v>7647.6760000000004</v>
      </c>
      <c r="D175" s="18">
        <v>0.12950992503898737</v>
      </c>
      <c r="E175" s="18">
        <v>0.10503817864467077</v>
      </c>
      <c r="G175" s="18">
        <v>11607.431</v>
      </c>
      <c r="H175" s="18">
        <v>0.56144540446266977</v>
      </c>
      <c r="I175" s="18">
        <v>0.87054681493965325</v>
      </c>
      <c r="K175" s="18">
        <v>12.529848098754883</v>
      </c>
      <c r="L175" s="18">
        <v>0.71329425036796823</v>
      </c>
      <c r="M175" s="18">
        <v>0.97945705674350447</v>
      </c>
    </row>
    <row r="176" spans="2:13">
      <c r="B176" s="18">
        <v>165</v>
      </c>
      <c r="C176" s="18">
        <v>7655.68</v>
      </c>
      <c r="D176" s="18">
        <v>0.12830258200731637</v>
      </c>
      <c r="E176" s="18">
        <v>0.10324326123869915</v>
      </c>
      <c r="G176" s="18">
        <v>11609.155000000001</v>
      </c>
      <c r="H176" s="18">
        <v>0.56143724140217444</v>
      </c>
      <c r="I176" s="18">
        <v>0.87026074295214662</v>
      </c>
      <c r="K176" s="18">
        <v>12.538472175598145</v>
      </c>
      <c r="L176" s="18">
        <v>0.71328608730747289</v>
      </c>
      <c r="M176" s="18">
        <v>0.9792687136848528</v>
      </c>
    </row>
    <row r="177" spans="2:13">
      <c r="B177" s="18">
        <v>166</v>
      </c>
      <c r="C177" s="18">
        <v>7660.3879999999999</v>
      </c>
      <c r="D177" s="18">
        <v>0.12816458796409072</v>
      </c>
      <c r="E177" s="18">
        <v>0.10219624169101803</v>
      </c>
      <c r="G177" s="18">
        <v>11611.392</v>
      </c>
      <c r="H177" s="18">
        <v>0.5614290783416791</v>
      </c>
      <c r="I177" s="18">
        <v>0.86988874224603863</v>
      </c>
      <c r="K177" s="18">
        <v>12.544685363769531</v>
      </c>
      <c r="L177" s="18">
        <v>0.71314809326424722</v>
      </c>
      <c r="M177" s="18">
        <v>0.97913203021012374</v>
      </c>
    </row>
    <row r="178" spans="2:13">
      <c r="B178" s="18">
        <v>167</v>
      </c>
      <c r="C178" s="18">
        <v>7660.6019999999999</v>
      </c>
      <c r="D178" s="18">
        <v>0.12590765760885403</v>
      </c>
      <c r="E178" s="18">
        <v>0.10214880419118538</v>
      </c>
      <c r="G178" s="18">
        <v>11635.745000000001</v>
      </c>
      <c r="H178" s="18">
        <v>0.56138454745387623</v>
      </c>
      <c r="I178" s="18">
        <v>0.8657797908243321</v>
      </c>
      <c r="K178" s="18">
        <v>12.548006057739258</v>
      </c>
      <c r="L178" s="18">
        <v>0.71310356237644434</v>
      </c>
      <c r="M178" s="18">
        <v>0.97905863586848896</v>
      </c>
    </row>
    <row r="179" spans="2:13">
      <c r="B179" s="18">
        <v>168</v>
      </c>
      <c r="C179" s="18">
        <v>7663.6270000000004</v>
      </c>
      <c r="D179" s="18">
        <v>0.12576966356562838</v>
      </c>
      <c r="E179" s="18">
        <v>0.10147968656043088</v>
      </c>
      <c r="G179" s="18">
        <v>11637.455</v>
      </c>
      <c r="H179" s="18">
        <v>0.56134001656607335</v>
      </c>
      <c r="I179" s="18">
        <v>0.86548716940065384</v>
      </c>
      <c r="K179" s="18">
        <v>12.571346282958984</v>
      </c>
      <c r="L179" s="18">
        <v>0.71296556833321867</v>
      </c>
      <c r="M179" s="18">
        <v>0.9785359667480229</v>
      </c>
    </row>
    <row r="180" spans="2:13">
      <c r="B180" s="18">
        <v>169</v>
      </c>
      <c r="C180" s="18">
        <v>7669.4989999999998</v>
      </c>
      <c r="D180" s="18">
        <v>0.12456232053395738</v>
      </c>
      <c r="E180" s="18">
        <v>0.10018848291870855</v>
      </c>
      <c r="G180" s="18">
        <v>11670.454</v>
      </c>
      <c r="H180" s="18">
        <v>0.56120202252284768</v>
      </c>
      <c r="I180" s="18">
        <v>0.85973328481682432</v>
      </c>
      <c r="K180" s="18">
        <v>12.579401969909668</v>
      </c>
      <c r="L180" s="18">
        <v>0.71282757428999299</v>
      </c>
      <c r="M180" s="18">
        <v>0.97835277897753914</v>
      </c>
    </row>
    <row r="181" spans="2:13">
      <c r="B181" s="18">
        <v>170</v>
      </c>
      <c r="C181" s="18">
        <v>7673.0680000000002</v>
      </c>
      <c r="D181" s="18">
        <v>0.12335497750228638</v>
      </c>
      <c r="E181" s="18">
        <v>9.940863170230739E-2</v>
      </c>
      <c r="G181" s="18">
        <v>11671.893</v>
      </c>
      <c r="H181" s="18">
        <v>0.56119385946235234</v>
      </c>
      <c r="I181" s="18">
        <v>0.859477703605391</v>
      </c>
      <c r="K181" s="18">
        <v>12.583495140075684</v>
      </c>
      <c r="L181" s="18">
        <v>0.71268958024676732</v>
      </c>
      <c r="M181" s="18">
        <v>0.978259144633843</v>
      </c>
    </row>
    <row r="182" spans="2:13">
      <c r="B182" s="18">
        <v>171</v>
      </c>
      <c r="C182" s="18">
        <v>7673.2749999999996</v>
      </c>
      <c r="D182" s="18">
        <v>0.12214763447061538</v>
      </c>
      <c r="E182" s="18">
        <v>9.9363515449525611E-2</v>
      </c>
      <c r="G182" s="18">
        <v>11681.581</v>
      </c>
      <c r="H182" s="18">
        <v>0.56105586541912666</v>
      </c>
      <c r="I182" s="18">
        <v>0.85774674984109966</v>
      </c>
      <c r="K182" s="18">
        <v>12.594945907592773</v>
      </c>
      <c r="L182" s="18">
        <v>0.71255158620354164</v>
      </c>
      <c r="M182" s="18">
        <v>0.97799519955390257</v>
      </c>
    </row>
    <row r="183" spans="2:13">
      <c r="B183" s="18">
        <v>172</v>
      </c>
      <c r="C183" s="18">
        <v>7679.665</v>
      </c>
      <c r="D183" s="18">
        <v>0.12094029143894439</v>
      </c>
      <c r="E183" s="18">
        <v>9.7976983273998244E-2</v>
      </c>
      <c r="G183" s="18">
        <v>11682.271000000001</v>
      </c>
      <c r="H183" s="18">
        <v>0.56101133453132379</v>
      </c>
      <c r="I183" s="18">
        <v>0.85762278381207679</v>
      </c>
      <c r="K183" s="18">
        <v>12.616076469421387</v>
      </c>
      <c r="L183" s="18">
        <v>0.71250705531573877</v>
      </c>
      <c r="M183" s="18">
        <v>0.97750030996529402</v>
      </c>
    </row>
    <row r="184" spans="2:13">
      <c r="B184" s="18">
        <v>173</v>
      </c>
      <c r="C184" s="18">
        <v>7680.8204999999998</v>
      </c>
      <c r="D184" s="18">
        <v>0.11868336108370769</v>
      </c>
      <c r="E184" s="18">
        <v>9.7727537384074512E-2</v>
      </c>
      <c r="G184" s="18">
        <v>11682.284</v>
      </c>
      <c r="H184" s="18">
        <v>0.56087334048809812</v>
      </c>
      <c r="I184" s="18">
        <v>0.85762044734536058</v>
      </c>
      <c r="K184" s="18">
        <v>12.617484092712402</v>
      </c>
      <c r="L184" s="18">
        <v>0.71246252442793589</v>
      </c>
      <c r="M184" s="18">
        <v>0.97746697859631737</v>
      </c>
    </row>
    <row r="185" spans="2:13">
      <c r="B185" s="18">
        <v>174</v>
      </c>
      <c r="C185" s="18">
        <v>7681.4960000000001</v>
      </c>
      <c r="D185" s="18">
        <v>0.11814124501313762</v>
      </c>
      <c r="E185" s="18">
        <v>9.7581894068590913E-2</v>
      </c>
      <c r="G185" s="18">
        <v>11690.396000000001</v>
      </c>
      <c r="H185" s="18">
        <v>0.56082880960029524</v>
      </c>
      <c r="I185" s="18">
        <v>0.85615616952009332</v>
      </c>
      <c r="K185" s="18">
        <v>12.655155181884766</v>
      </c>
      <c r="L185" s="18">
        <v>0.71241799354013302</v>
      </c>
      <c r="M185" s="18">
        <v>0.97655776247344905</v>
      </c>
    </row>
    <row r="186" spans="2:13">
      <c r="B186" s="18">
        <v>175</v>
      </c>
      <c r="C186" s="18">
        <v>7684.2120000000004</v>
      </c>
      <c r="D186" s="18">
        <v>0.11759912894256755</v>
      </c>
      <c r="E186" s="18">
        <v>9.6997654954259091E-2</v>
      </c>
      <c r="G186" s="18">
        <v>11691.415000000001</v>
      </c>
      <c r="H186" s="18">
        <v>0.56069081555706957</v>
      </c>
      <c r="I186" s="18">
        <v>0.85597133777763945</v>
      </c>
      <c r="K186" s="18">
        <v>12.656781196594238</v>
      </c>
      <c r="L186" s="18">
        <v>0.71237346265233015</v>
      </c>
      <c r="M186" s="18">
        <v>0.97651776219573883</v>
      </c>
    </row>
    <row r="187" spans="2:13">
      <c r="B187" s="18">
        <v>176</v>
      </c>
      <c r="C187" s="18">
        <v>7685.6925000000001</v>
      </c>
      <c r="D187" s="18">
        <v>0.11759096588207216</v>
      </c>
      <c r="E187" s="18">
        <v>9.6680096859752901E-2</v>
      </c>
      <c r="G187" s="18">
        <v>11693.453</v>
      </c>
      <c r="H187" s="18">
        <v>0.56055282151384389</v>
      </c>
      <c r="I187" s="18">
        <v>0.85560107379616257</v>
      </c>
      <c r="K187" s="18">
        <v>12.680577278137207</v>
      </c>
      <c r="L187" s="18">
        <v>0.71223546860910447</v>
      </c>
      <c r="M187" s="18">
        <v>0.97592508905423658</v>
      </c>
    </row>
    <row r="188" spans="2:13">
      <c r="B188" s="18">
        <v>177</v>
      </c>
      <c r="C188" s="18">
        <v>7690.9920000000002</v>
      </c>
      <c r="D188" s="18">
        <v>0.11638362285040116</v>
      </c>
      <c r="E188" s="18">
        <v>9.5548664790230747E-2</v>
      </c>
      <c r="G188" s="18">
        <v>11722.093999999999</v>
      </c>
      <c r="H188" s="18">
        <v>0.56041482747061822</v>
      </c>
      <c r="I188" s="18">
        <v>0.85031225901250196</v>
      </c>
      <c r="K188" s="18">
        <v>12.691671371459961</v>
      </c>
      <c r="L188" s="18">
        <v>0.7121909377213016</v>
      </c>
      <c r="M188" s="18">
        <v>0.97564406444668139</v>
      </c>
    </row>
    <row r="189" spans="2:13">
      <c r="B189" s="18">
        <v>178</v>
      </c>
      <c r="C189" s="18">
        <v>7694.259</v>
      </c>
      <c r="D189" s="18">
        <v>0.11517627981873016</v>
      </c>
      <c r="E189" s="18">
        <v>9.4855278894488457E-2</v>
      </c>
      <c r="G189" s="18">
        <v>11724.33</v>
      </c>
      <c r="H189" s="18">
        <v>0.56027683342739254</v>
      </c>
      <c r="I189" s="18">
        <v>0.84989260745021544</v>
      </c>
      <c r="K189" s="18">
        <v>12.711462020874023</v>
      </c>
      <c r="L189" s="18">
        <v>0.71214640683349872</v>
      </c>
      <c r="M189" s="18">
        <v>0.97513518759546158</v>
      </c>
    </row>
    <row r="190" spans="2:13">
      <c r="B190" s="18">
        <v>179</v>
      </c>
      <c r="C190" s="18">
        <v>7695.5725000000002</v>
      </c>
      <c r="D190" s="18">
        <v>0.11396893678705916</v>
      </c>
      <c r="E190" s="18">
        <v>9.4577386573959588E-2</v>
      </c>
      <c r="G190" s="18">
        <v>11740.727999999999</v>
      </c>
      <c r="H190" s="18">
        <v>0.5602686703668972</v>
      </c>
      <c r="I190" s="18">
        <v>0.84678482397785437</v>
      </c>
      <c r="K190" s="18">
        <v>12.711570739746094</v>
      </c>
      <c r="L190" s="18">
        <v>0.71200841279027305</v>
      </c>
      <c r="M190" s="18">
        <v>0.97513236510738377</v>
      </c>
    </row>
    <row r="191" spans="2:13">
      <c r="B191" s="18">
        <v>180</v>
      </c>
      <c r="C191" s="18">
        <v>7702.5460000000003</v>
      </c>
      <c r="D191" s="18">
        <v>0.11276159375538816</v>
      </c>
      <c r="E191" s="18">
        <v>9.311052137392925E-2</v>
      </c>
      <c r="G191" s="18">
        <v>11743.755999999999</v>
      </c>
      <c r="H191" s="18">
        <v>0.56013067632367153</v>
      </c>
      <c r="I191" s="18">
        <v>0.84620510671733584</v>
      </c>
      <c r="K191" s="18">
        <v>12.715810775756836</v>
      </c>
      <c r="L191" s="18">
        <v>0.71187041874704737</v>
      </c>
      <c r="M191" s="18">
        <v>0.97502205632588002</v>
      </c>
    </row>
    <row r="192" spans="2:13">
      <c r="B192" s="18">
        <v>181</v>
      </c>
      <c r="C192" s="18">
        <v>7715.0510000000004</v>
      </c>
      <c r="D192" s="18">
        <v>0.11050466340015146</v>
      </c>
      <c r="E192" s="18">
        <v>9.0515910783981232E-2</v>
      </c>
      <c r="G192" s="18">
        <v>11746.727999999999</v>
      </c>
      <c r="H192" s="18">
        <v>0.56012251326317619</v>
      </c>
      <c r="I192" s="18">
        <v>0.84563433029562163</v>
      </c>
      <c r="K192" s="18">
        <v>12.717411994934082</v>
      </c>
      <c r="L192" s="18">
        <v>0.7118258878592445</v>
      </c>
      <c r="M192" s="18">
        <v>0.97498028124853187</v>
      </c>
    </row>
    <row r="193" spans="2:13">
      <c r="B193" s="18">
        <v>182</v>
      </c>
      <c r="C193" s="18">
        <v>7720.375</v>
      </c>
      <c r="D193" s="18">
        <v>0.10929732036848046</v>
      </c>
      <c r="E193" s="18">
        <v>8.9425205167652205E-2</v>
      </c>
      <c r="G193" s="18">
        <v>11752.465</v>
      </c>
      <c r="H193" s="18">
        <v>0.56011435020268086</v>
      </c>
      <c r="I193" s="18">
        <v>0.84452753051441076</v>
      </c>
      <c r="K193" s="18">
        <v>12.726799011230469</v>
      </c>
      <c r="L193" s="18">
        <v>0.71168789381601882</v>
      </c>
      <c r="M193" s="18">
        <v>0.97473407387057409</v>
      </c>
    </row>
    <row r="194" spans="2:13">
      <c r="B194" s="18">
        <v>183</v>
      </c>
      <c r="C194" s="18">
        <v>7721.82</v>
      </c>
      <c r="D194" s="18">
        <v>0.10925278948067757</v>
      </c>
      <c r="E194" s="18">
        <v>8.913061118260876E-2</v>
      </c>
      <c r="G194" s="18">
        <v>11758.232</v>
      </c>
      <c r="H194" s="18">
        <v>0.56006981931487798</v>
      </c>
      <c r="I194" s="18">
        <v>0.84340828086025865</v>
      </c>
      <c r="K194" s="18">
        <v>12.746869087219238</v>
      </c>
      <c r="L194" s="18">
        <v>0.71164336292821595</v>
      </c>
      <c r="M194" s="18">
        <v>0.97420012143157897</v>
      </c>
    </row>
    <row r="195" spans="2:13">
      <c r="B195" s="18">
        <v>184</v>
      </c>
      <c r="C195" s="18">
        <v>7723.9229999999998</v>
      </c>
      <c r="D195" s="18">
        <v>0.10804544644900657</v>
      </c>
      <c r="E195" s="18">
        <v>8.8702966045839007E-2</v>
      </c>
      <c r="G195" s="18">
        <v>11759.427</v>
      </c>
      <c r="H195" s="18">
        <v>0.55952770324430789</v>
      </c>
      <c r="I195" s="18">
        <v>0.84317551952833769</v>
      </c>
      <c r="K195" s="18">
        <v>12.750140190124512</v>
      </c>
      <c r="L195" s="18">
        <v>0.71163519986772061</v>
      </c>
      <c r="M195" s="18">
        <v>0.97411211205668136</v>
      </c>
    </row>
    <row r="196" spans="2:13">
      <c r="B196" s="18">
        <v>185</v>
      </c>
      <c r="C196" s="18">
        <v>7747.5065000000004</v>
      </c>
      <c r="D196" s="18">
        <v>0.10683810341733557</v>
      </c>
      <c r="E196" s="18">
        <v>8.3996198814823134E-2</v>
      </c>
      <c r="G196" s="18">
        <v>11760.489</v>
      </c>
      <c r="H196" s="18">
        <v>0.55951954018381256</v>
      </c>
      <c r="I196" s="18">
        <v>0.8429684220742939</v>
      </c>
      <c r="K196" s="18">
        <v>12.764886856079102</v>
      </c>
      <c r="L196" s="18">
        <v>0.71162703680722528</v>
      </c>
      <c r="M196" s="18">
        <v>0.97371189040599559</v>
      </c>
    </row>
    <row r="197" spans="2:13">
      <c r="B197" s="18">
        <v>186</v>
      </c>
      <c r="C197" s="18">
        <v>7756.9759999999997</v>
      </c>
      <c r="D197" s="18">
        <v>0.10458117306209888</v>
      </c>
      <c r="E197" s="18">
        <v>8.2152188779960236E-2</v>
      </c>
      <c r="G197" s="18">
        <v>11761.902</v>
      </c>
      <c r="H197" s="18">
        <v>0.55947500929600968</v>
      </c>
      <c r="I197" s="18">
        <v>0.8426925241219646</v>
      </c>
      <c r="K197" s="18">
        <v>12.775029182434082</v>
      </c>
      <c r="L197" s="18">
        <v>0.7115825059194224</v>
      </c>
      <c r="M197" s="18">
        <v>0.97343331453341841</v>
      </c>
    </row>
    <row r="198" spans="2:13">
      <c r="B198" s="18">
        <v>187</v>
      </c>
      <c r="C198" s="18">
        <v>7759.7629999999999</v>
      </c>
      <c r="D198" s="18">
        <v>0.10444317901887323</v>
      </c>
      <c r="E198" s="18">
        <v>8.1614474156677566E-2</v>
      </c>
      <c r="G198" s="18">
        <v>11765.183000000001</v>
      </c>
      <c r="H198" s="18">
        <v>0.55933701525278401</v>
      </c>
      <c r="I198" s="18">
        <v>0.84205032971790827</v>
      </c>
      <c r="K198" s="18">
        <v>12.794351577758789</v>
      </c>
      <c r="L198" s="18">
        <v>0.71144451187619673</v>
      </c>
      <c r="M198" s="18">
        <v>0.97289501978023496</v>
      </c>
    </row>
    <row r="199" spans="2:13">
      <c r="B199" s="18">
        <v>188</v>
      </c>
      <c r="C199" s="18">
        <v>7768.1225000000004</v>
      </c>
      <c r="D199" s="18">
        <v>0.10323583598720223</v>
      </c>
      <c r="E199" s="18">
        <v>8.0015249833142704E-2</v>
      </c>
      <c r="G199" s="18">
        <v>11782.627</v>
      </c>
      <c r="H199" s="18">
        <v>0.55932885219228867</v>
      </c>
      <c r="I199" s="18">
        <v>0.83859928010520302</v>
      </c>
      <c r="K199" s="18">
        <v>12.794976234436035</v>
      </c>
      <c r="L199" s="18">
        <v>0.71143634881570139</v>
      </c>
      <c r="M199" s="18">
        <v>0.97287745053989327</v>
      </c>
    </row>
    <row r="200" spans="2:13">
      <c r="B200" s="18">
        <v>189</v>
      </c>
      <c r="C200" s="18">
        <v>7772.8765000000003</v>
      </c>
      <c r="D200" s="18">
        <v>0.10097890563196554</v>
      </c>
      <c r="E200" s="18">
        <v>7.9114890863405077E-2</v>
      </c>
      <c r="G200" s="18">
        <v>11784.736000000001</v>
      </c>
      <c r="H200" s="18">
        <v>0.55932068913179334</v>
      </c>
      <c r="I200" s="18">
        <v>0.83817783639320276</v>
      </c>
      <c r="K200" s="18">
        <v>12.876514434814453</v>
      </c>
      <c r="L200" s="18">
        <v>0.71139181792789852</v>
      </c>
      <c r="M200" s="18">
        <v>0.97049152416395368</v>
      </c>
    </row>
    <row r="201" spans="2:13">
      <c r="B201" s="18">
        <v>190</v>
      </c>
      <c r="C201" s="18">
        <v>7774.1360000000004</v>
      </c>
      <c r="D201" s="18">
        <v>9.8721975276728852E-2</v>
      </c>
      <c r="E201" s="18">
        <v>7.8877460338548214E-2</v>
      </c>
      <c r="G201" s="18">
        <v>11791.772999999999</v>
      </c>
      <c r="H201" s="18">
        <v>0.55877857306122325</v>
      </c>
      <c r="I201" s="18">
        <v>0.8367650215493998</v>
      </c>
      <c r="K201" s="18">
        <v>12.898942947387695</v>
      </c>
      <c r="L201" s="18">
        <v>0.71125382388467284</v>
      </c>
      <c r="M201" s="18">
        <v>0.96980203439365864</v>
      </c>
    </row>
    <row r="202" spans="2:13">
      <c r="B202" s="18">
        <v>191</v>
      </c>
      <c r="C202" s="18">
        <v>7776.5969999999998</v>
      </c>
      <c r="D202" s="18">
        <v>9.8677444388925964E-2</v>
      </c>
      <c r="E202" s="18">
        <v>7.8414869115392513E-2</v>
      </c>
      <c r="G202" s="18">
        <v>11793.307000000001</v>
      </c>
      <c r="H202" s="18">
        <v>0.55873404217342038</v>
      </c>
      <c r="I202" s="18">
        <v>0.83645568915985025</v>
      </c>
      <c r="K202" s="18">
        <v>12.90796947479248</v>
      </c>
      <c r="L202" s="18">
        <v>0.71111582984144717</v>
      </c>
      <c r="M202" s="18">
        <v>0.96952036987026713</v>
      </c>
    </row>
    <row r="203" spans="2:13">
      <c r="B203" s="18">
        <v>192</v>
      </c>
      <c r="C203" s="18">
        <v>7779.1109999999999</v>
      </c>
      <c r="D203" s="18">
        <v>9.8135328318355891E-2</v>
      </c>
      <c r="E203" s="18">
        <v>7.7944139908369237E-2</v>
      </c>
      <c r="G203" s="18">
        <v>11803.215</v>
      </c>
      <c r="H203" s="18">
        <v>0.55872587911292504</v>
      </c>
      <c r="I203" s="18">
        <v>0.83444603088627733</v>
      </c>
      <c r="K203" s="18">
        <v>12.910773277282715</v>
      </c>
      <c r="L203" s="18">
        <v>0.71110766678095183</v>
      </c>
      <c r="M203" s="18">
        <v>0.96943238738877513</v>
      </c>
    </row>
    <row r="204" spans="2:13">
      <c r="B204" s="18">
        <v>193</v>
      </c>
      <c r="C204" s="18">
        <v>7789.3739999999998</v>
      </c>
      <c r="D204" s="18">
        <v>9.58783979631192E-2</v>
      </c>
      <c r="E204" s="18">
        <v>7.6041569725703292E-2</v>
      </c>
      <c r="G204" s="18">
        <v>11804.915000000001</v>
      </c>
      <c r="H204" s="18">
        <v>0.5587177160524297</v>
      </c>
      <c r="I204" s="18">
        <v>0.83409917435222269</v>
      </c>
      <c r="K204" s="18">
        <v>12.912376403808594</v>
      </c>
      <c r="L204" s="18">
        <v>0.71096967273772615</v>
      </c>
      <c r="M204" s="18">
        <v>0.96938197648438851</v>
      </c>
    </row>
    <row r="205" spans="2:13">
      <c r="B205" s="18">
        <v>194</v>
      </c>
      <c r="C205" s="18">
        <v>7805.1525000000001</v>
      </c>
      <c r="D205" s="18">
        <v>9.4671054931448201E-2</v>
      </c>
      <c r="E205" s="18">
        <v>7.3176257689189478E-2</v>
      </c>
      <c r="G205" s="18">
        <v>11811.682000000001</v>
      </c>
      <c r="H205" s="18">
        <v>0.55857972200920403</v>
      </c>
      <c r="I205" s="18">
        <v>0.83271252943599339</v>
      </c>
      <c r="K205" s="18">
        <v>12.918580055236816</v>
      </c>
      <c r="L205" s="18">
        <v>0.71083167869450048</v>
      </c>
      <c r="M205" s="18">
        <v>0.96918617653458838</v>
      </c>
    </row>
    <row r="206" spans="2:13">
      <c r="B206" s="18">
        <v>195</v>
      </c>
      <c r="C206" s="18">
        <v>7810.48</v>
      </c>
      <c r="D206" s="18">
        <v>9.3463711899777202E-2</v>
      </c>
      <c r="E206" s="18">
        <v>7.2225104407203963E-2</v>
      </c>
      <c r="G206" s="18">
        <v>11814.295</v>
      </c>
      <c r="H206" s="18">
        <v>0.55853519112140115</v>
      </c>
      <c r="I206" s="18">
        <v>0.83217454057617812</v>
      </c>
      <c r="K206" s="18">
        <v>12.945170402526855</v>
      </c>
      <c r="L206" s="18">
        <v>0.71078714780669761</v>
      </c>
      <c r="M206" s="18">
        <v>0.96833376999361576</v>
      </c>
    </row>
    <row r="207" spans="2:13">
      <c r="B207" s="18">
        <v>196</v>
      </c>
      <c r="C207" s="18">
        <v>7814.6435000000001</v>
      </c>
      <c r="D207" s="18">
        <v>9.2256368868106203E-2</v>
      </c>
      <c r="E207" s="18">
        <v>7.1487481487833876E-2</v>
      </c>
      <c r="G207" s="18">
        <v>11821.853999999999</v>
      </c>
      <c r="H207" s="18">
        <v>0.55849066023359828</v>
      </c>
      <c r="I207" s="18">
        <v>0.8306101910883904</v>
      </c>
      <c r="K207" s="18">
        <v>12.953222274780273</v>
      </c>
      <c r="L207" s="18">
        <v>0.71064915376347193</v>
      </c>
      <c r="M207" s="18">
        <v>0.9680713925085207</v>
      </c>
    </row>
    <row r="208" spans="2:13">
      <c r="B208" s="18">
        <v>197</v>
      </c>
      <c r="C208" s="18">
        <v>7817.4705000000004</v>
      </c>
      <c r="D208" s="18">
        <v>9.2118374824880556E-2</v>
      </c>
      <c r="E208" s="18">
        <v>7.098949229125931E-2</v>
      </c>
      <c r="G208" s="18">
        <v>11828.441999999999</v>
      </c>
      <c r="H208" s="18">
        <v>0.55848249717310294</v>
      </c>
      <c r="I208" s="18">
        <v>0.82923702408961164</v>
      </c>
      <c r="K208" s="18">
        <v>12.973063468933105</v>
      </c>
      <c r="L208" s="18">
        <v>0.71051115972024625</v>
      </c>
      <c r="M208" s="18">
        <v>0.96741626907173817</v>
      </c>
    </row>
    <row r="209" spans="2:13">
      <c r="B209" s="18">
        <v>198</v>
      </c>
      <c r="C209" s="18">
        <v>7818.076</v>
      </c>
      <c r="D209" s="18">
        <v>9.1980380781654908E-2</v>
      </c>
      <c r="E209" s="18">
        <v>7.0883130541104455E-2</v>
      </c>
      <c r="G209" s="18">
        <v>11836.364</v>
      </c>
      <c r="H209" s="18">
        <v>0.54176379073259096</v>
      </c>
      <c r="I209" s="18">
        <v>0.82757370645050699</v>
      </c>
      <c r="K209" s="18">
        <v>12.99124813079834</v>
      </c>
      <c r="L209" s="18">
        <v>0.71046662883244338</v>
      </c>
      <c r="M209" s="18">
        <v>0.96680498102871604</v>
      </c>
    </row>
    <row r="210" spans="2:13">
      <c r="B210" s="18">
        <v>199</v>
      </c>
      <c r="C210" s="18">
        <v>7821.2430000000004</v>
      </c>
      <c r="D210" s="18">
        <v>8.9723450426418216E-2</v>
      </c>
      <c r="E210" s="18">
        <v>7.032853995831348E-2</v>
      </c>
      <c r="G210" s="18">
        <v>11855.197</v>
      </c>
      <c r="H210" s="18">
        <v>0.54171925984478808</v>
      </c>
      <c r="I210" s="18">
        <v>0.82356612002728247</v>
      </c>
      <c r="K210" s="18">
        <v>12.995405197143555</v>
      </c>
      <c r="L210" s="18">
        <v>0.71032863478921771</v>
      </c>
      <c r="M210" s="18">
        <v>0.96666376274622712</v>
      </c>
    </row>
    <row r="211" spans="2:13">
      <c r="B211" s="18">
        <v>200</v>
      </c>
      <c r="C211" s="18">
        <v>7822.5635000000002</v>
      </c>
      <c r="D211" s="18">
        <v>8.7466520071181525E-2</v>
      </c>
      <c r="E211" s="18">
        <v>7.0098153937562233E-2</v>
      </c>
      <c r="G211" s="18">
        <v>11862.083000000001</v>
      </c>
      <c r="H211" s="18">
        <v>0.54158126580156241</v>
      </c>
      <c r="I211" s="18">
        <v>0.8220819278464524</v>
      </c>
      <c r="K211" s="18">
        <v>13.013371467590332</v>
      </c>
      <c r="L211" s="18">
        <v>0.71032047172872237</v>
      </c>
      <c r="M211" s="18">
        <v>0.96604704803400632</v>
      </c>
    </row>
    <row r="212" spans="2:13">
      <c r="B212" s="18">
        <v>201</v>
      </c>
      <c r="C212" s="18">
        <v>7822.6620000000003</v>
      </c>
      <c r="D212" s="18">
        <v>8.7421989183378637E-2</v>
      </c>
      <c r="E212" s="18">
        <v>7.0080988893763241E-2</v>
      </c>
      <c r="G212" s="18">
        <v>11868.808000000001</v>
      </c>
      <c r="H212" s="18">
        <v>0.54144327175833673</v>
      </c>
      <c r="I212" s="18">
        <v>0.82062262100544647</v>
      </c>
      <c r="K212" s="18">
        <v>13.015888214111328</v>
      </c>
      <c r="L212" s="18">
        <v>0.71018247768549669</v>
      </c>
      <c r="M212" s="18">
        <v>0.96595982325537166</v>
      </c>
    </row>
    <row r="213" spans="2:13">
      <c r="B213" s="18">
        <v>202</v>
      </c>
      <c r="C213" s="18">
        <v>7823.5690000000004</v>
      </c>
      <c r="D213" s="18">
        <v>8.6214646151707638E-2</v>
      </c>
      <c r="E213" s="18">
        <v>6.9923062394396662E-2</v>
      </c>
      <c r="G213" s="18">
        <v>11879.173000000001</v>
      </c>
      <c r="H213" s="18">
        <v>0.52472456531782474</v>
      </c>
      <c r="I213" s="18">
        <v>0.81835436484039248</v>
      </c>
      <c r="K213" s="18">
        <v>13.018619537353516</v>
      </c>
      <c r="L213" s="18">
        <v>0.71004448364227102</v>
      </c>
      <c r="M213" s="18">
        <v>0.96586492823591164</v>
      </c>
    </row>
    <row r="214" spans="2:13">
      <c r="B214" s="18">
        <v>203</v>
      </c>
      <c r="C214" s="18">
        <v>7828.3135000000002</v>
      </c>
      <c r="D214" s="18">
        <v>8.6206483091212247E-2</v>
      </c>
      <c r="E214" s="18">
        <v>6.9100810050942346E-2</v>
      </c>
      <c r="G214" s="18">
        <v>11884.995999999999</v>
      </c>
      <c r="H214" s="18">
        <v>0.52468003443002187</v>
      </c>
      <c r="I214" s="18">
        <v>0.81706987653815388</v>
      </c>
      <c r="K214" s="18">
        <v>13.019942283630371</v>
      </c>
      <c r="L214" s="18">
        <v>0.70999995275446814</v>
      </c>
      <c r="M214" s="18">
        <v>0.96581888423256956</v>
      </c>
    </row>
    <row r="215" spans="2:13">
      <c r="B215" s="18">
        <v>204</v>
      </c>
      <c r="C215" s="18">
        <v>7828.6025</v>
      </c>
      <c r="D215" s="18">
        <v>8.6068489047986599E-2</v>
      </c>
      <c r="E215" s="18">
        <v>6.9050933660617611E-2</v>
      </c>
      <c r="G215" s="18">
        <v>11895.207</v>
      </c>
      <c r="H215" s="18">
        <v>0.52463550354221899</v>
      </c>
      <c r="I215" s="18">
        <v>0.81479965590126102</v>
      </c>
      <c r="K215" s="18">
        <v>13.023520469665527</v>
      </c>
      <c r="L215" s="18">
        <v>0.70986195871124247</v>
      </c>
      <c r="M215" s="18">
        <v>0.96569404293596739</v>
      </c>
    </row>
    <row r="216" spans="2:13">
      <c r="B216" s="18">
        <v>205</v>
      </c>
      <c r="C216" s="18">
        <v>7831.4155000000001</v>
      </c>
      <c r="D216" s="18">
        <v>8.5526372977416526E-2</v>
      </c>
      <c r="E216" s="18">
        <v>6.8566712123122056E-2</v>
      </c>
      <c r="G216" s="18">
        <v>11901.981</v>
      </c>
      <c r="H216" s="18">
        <v>0.52449750949899332</v>
      </c>
      <c r="I216" s="18">
        <v>0.81328103599594193</v>
      </c>
      <c r="K216" s="18">
        <v>13.032739639282227</v>
      </c>
      <c r="L216" s="18">
        <v>0.7098174278234396</v>
      </c>
      <c r="M216" s="18">
        <v>0.96537045320406789</v>
      </c>
    </row>
    <row r="217" spans="2:13">
      <c r="B217" s="18">
        <v>206</v>
      </c>
      <c r="C217" s="18">
        <v>7834.7629999999999</v>
      </c>
      <c r="D217" s="18">
        <v>8.4319029945745527E-2</v>
      </c>
      <c r="E217" s="18">
        <v>6.7993443405063789E-2</v>
      </c>
      <c r="G217" s="18">
        <v>11914.039000000001</v>
      </c>
      <c r="H217" s="18">
        <v>0.52445297861119045</v>
      </c>
      <c r="I217" s="18">
        <v>0.81055293757492486</v>
      </c>
      <c r="K217" s="18">
        <v>13.034626007080078</v>
      </c>
      <c r="L217" s="18">
        <v>0.70967943378021392</v>
      </c>
      <c r="M217" s="18">
        <v>0.96530389697257846</v>
      </c>
    </row>
    <row r="218" spans="2:13">
      <c r="B218" s="18">
        <v>207</v>
      </c>
      <c r="C218" s="18">
        <v>7842.0304999999998</v>
      </c>
      <c r="D218" s="18">
        <v>8.2062099590508822E-2</v>
      </c>
      <c r="E218" s="18">
        <v>6.675991800839505E-2</v>
      </c>
      <c r="G218" s="18">
        <v>11914.287</v>
      </c>
      <c r="H218" s="18">
        <v>0.52444481555069511</v>
      </c>
      <c r="I218" s="18">
        <v>0.8104964924522815</v>
      </c>
      <c r="K218" s="18">
        <v>13.03923511505127</v>
      </c>
      <c r="L218" s="18">
        <v>0.70963490289241105</v>
      </c>
      <c r="M218" s="18">
        <v>0.965140779282045</v>
      </c>
    </row>
    <row r="219" spans="2:13">
      <c r="B219" s="18">
        <v>208</v>
      </c>
      <c r="C219" s="18">
        <v>7843.4430000000002</v>
      </c>
      <c r="D219" s="18">
        <v>8.0854756558837823E-2</v>
      </c>
      <c r="E219" s="18">
        <v>6.6521926010621082E-2</v>
      </c>
      <c r="G219" s="18">
        <v>11917.583000000001</v>
      </c>
      <c r="H219" s="18">
        <v>0.52390269948012502</v>
      </c>
      <c r="I219" s="18">
        <v>0.80974503068264969</v>
      </c>
      <c r="K219" s="18">
        <v>13.040851593017578</v>
      </c>
      <c r="L219" s="18">
        <v>0.70962673983191571</v>
      </c>
      <c r="M219" s="18">
        <v>0.96508340464334896</v>
      </c>
    </row>
    <row r="220" spans="2:13">
      <c r="B220" s="18">
        <v>209</v>
      </c>
      <c r="C220" s="18">
        <v>7845.7579999999998</v>
      </c>
      <c r="D220" s="18">
        <v>7.9647413527166824E-2</v>
      </c>
      <c r="E220" s="18">
        <v>6.6133104599965464E-2</v>
      </c>
      <c r="G220" s="18">
        <v>11938.933999999999</v>
      </c>
      <c r="H220" s="18">
        <v>0.52376470543689935</v>
      </c>
      <c r="I220" s="18">
        <v>0.80481891832391694</v>
      </c>
      <c r="K220" s="18">
        <v>13.086817741394043</v>
      </c>
      <c r="L220" s="18">
        <v>0.70958220894411284</v>
      </c>
      <c r="M220" s="18">
        <v>0.9634150723192576</v>
      </c>
    </row>
    <row r="221" spans="2:13">
      <c r="B221" s="18">
        <v>210</v>
      </c>
      <c r="C221" s="18">
        <v>7852.8625000000002</v>
      </c>
      <c r="D221" s="18">
        <v>7.9509419483941177E-2</v>
      </c>
      <c r="E221" s="18">
        <v>6.4949396866790229E-2</v>
      </c>
      <c r="G221" s="18">
        <v>11939.718000000001</v>
      </c>
      <c r="H221" s="18">
        <v>0.52362671139367367</v>
      </c>
      <c r="I221" s="18">
        <v>0.80463610462659951</v>
      </c>
      <c r="K221" s="18">
        <v>13.08958911895752</v>
      </c>
      <c r="L221" s="18">
        <v>0.70944421490088716</v>
      </c>
      <c r="M221" s="18">
        <v>0.96331217949542536</v>
      </c>
    </row>
    <row r="222" spans="2:13">
      <c r="B222" s="18">
        <v>211</v>
      </c>
      <c r="C222" s="18">
        <v>7853.4719999999998</v>
      </c>
      <c r="D222" s="18">
        <v>7.8967303413371104E-2</v>
      </c>
      <c r="E222" s="18">
        <v>6.484851546075357E-2</v>
      </c>
      <c r="G222" s="18">
        <v>11942.263999999999</v>
      </c>
      <c r="H222" s="18">
        <v>0.523488717350448</v>
      </c>
      <c r="I222" s="18">
        <v>0.80404148047849677</v>
      </c>
      <c r="K222" s="18">
        <v>13.101114273071289</v>
      </c>
      <c r="L222" s="18">
        <v>0.70930622085766148</v>
      </c>
      <c r="M222" s="18">
        <v>0.96288142516186537</v>
      </c>
    </row>
    <row r="223" spans="2:13">
      <c r="B223" s="18">
        <v>212</v>
      </c>
      <c r="C223" s="18">
        <v>7853.7254999999996</v>
      </c>
      <c r="D223" s="18">
        <v>7.8829309370145456E-2</v>
      </c>
      <c r="E223" s="18">
        <v>6.4806588528350376E-2</v>
      </c>
      <c r="G223" s="18">
        <v>11946.736000000001</v>
      </c>
      <c r="H223" s="18">
        <v>0.52344418646264512</v>
      </c>
      <c r="I223" s="18">
        <v>0.80299352851915717</v>
      </c>
      <c r="K223" s="18">
        <v>13.108488082885742</v>
      </c>
      <c r="L223" s="18">
        <v>0.70929805779716615</v>
      </c>
      <c r="M223" s="18">
        <v>0.96260339421353924</v>
      </c>
    </row>
    <row r="224" spans="2:13">
      <c r="B224" s="18">
        <v>213</v>
      </c>
      <c r="C224" s="18">
        <v>7855.6355000000003</v>
      </c>
      <c r="D224" s="18">
        <v>7.8784778482342568E-2</v>
      </c>
      <c r="E224" s="18">
        <v>6.4491277038049466E-2</v>
      </c>
      <c r="G224" s="18">
        <v>11952.183000000001</v>
      </c>
      <c r="H224" s="18">
        <v>0.52330619241941945</v>
      </c>
      <c r="I224" s="18">
        <v>0.80171105137998422</v>
      </c>
      <c r="K224" s="18">
        <v>13.114522933959961</v>
      </c>
      <c r="L224" s="18">
        <v>0.70925352690936327</v>
      </c>
      <c r="M224" s="18">
        <v>0.9623744260854884</v>
      </c>
    </row>
    <row r="225" spans="2:13">
      <c r="B225" s="18">
        <v>214</v>
      </c>
      <c r="C225" s="18">
        <v>7856.9189999999999</v>
      </c>
      <c r="D225" s="18">
        <v>7.8242662411772496E-2</v>
      </c>
      <c r="E225" s="18">
        <v>6.4279973652531089E-2</v>
      </c>
      <c r="G225" s="18">
        <v>11953.825999999999</v>
      </c>
      <c r="H225" s="18">
        <v>0.52329802935892411</v>
      </c>
      <c r="I225" s="18">
        <v>0.80132290665578221</v>
      </c>
      <c r="K225" s="18">
        <v>13.189785003662109</v>
      </c>
      <c r="L225" s="18">
        <v>0.7091155328661376</v>
      </c>
      <c r="M225" s="18">
        <v>0.95940866460574026</v>
      </c>
    </row>
    <row r="226" spans="2:13">
      <c r="B226" s="18">
        <v>215</v>
      </c>
      <c r="C226" s="18">
        <v>7857.8834999999999</v>
      </c>
      <c r="D226" s="18">
        <v>7.8234499351277104E-2</v>
      </c>
      <c r="E226" s="18">
        <v>6.4121495439892415E-2</v>
      </c>
      <c r="G226" s="18">
        <v>11954.554</v>
      </c>
      <c r="H226" s="18">
        <v>0.52325349847112124</v>
      </c>
      <c r="I226" s="18">
        <v>0.80115072910849361</v>
      </c>
      <c r="K226" s="18">
        <v>13.192981719970703</v>
      </c>
      <c r="L226" s="18">
        <v>0.70907100197833473</v>
      </c>
      <c r="M226" s="18">
        <v>0.9592780710154305</v>
      </c>
    </row>
    <row r="227" spans="2:13">
      <c r="B227" s="18">
        <v>216</v>
      </c>
      <c r="C227" s="18">
        <v>7859.9</v>
      </c>
      <c r="D227" s="18">
        <v>7.7692383280707031E-2</v>
      </c>
      <c r="E227" s="18">
        <v>6.3791015167511969E-2</v>
      </c>
      <c r="G227" s="18">
        <v>11954.909</v>
      </c>
      <c r="H227" s="18">
        <v>0.52311550442789556</v>
      </c>
      <c r="I227" s="18">
        <v>0.80106672572771753</v>
      </c>
      <c r="K227" s="18">
        <v>13.210948944091797</v>
      </c>
      <c r="L227" s="18">
        <v>0.70893300793510905</v>
      </c>
      <c r="M227" s="18">
        <v>0.9585368700326834</v>
      </c>
    </row>
    <row r="228" spans="2:13">
      <c r="B228" s="18">
        <v>217</v>
      </c>
      <c r="C228" s="18">
        <v>7860.1459999999997</v>
      </c>
      <c r="D228" s="18">
        <v>7.7554389237481383E-2</v>
      </c>
      <c r="E228" s="18">
        <v>6.3750777681369247E-2</v>
      </c>
      <c r="G228" s="18">
        <v>11959.753000000001</v>
      </c>
      <c r="H228" s="18">
        <v>0.52307097354009269</v>
      </c>
      <c r="I228" s="18">
        <v>0.79991766300840672</v>
      </c>
      <c r="K228" s="18">
        <v>13.218448638916016</v>
      </c>
      <c r="L228" s="18">
        <v>0.70879501389188337</v>
      </c>
      <c r="M228" s="18">
        <v>0.95822384278919293</v>
      </c>
    </row>
    <row r="229" spans="2:13">
      <c r="B229" s="18">
        <v>218</v>
      </c>
      <c r="C229" s="18">
        <v>7860.9870000000001</v>
      </c>
      <c r="D229" s="18">
        <v>7.7416395194255735E-2</v>
      </c>
      <c r="E229" s="18">
        <v>6.3613347476810619E-2</v>
      </c>
      <c r="G229" s="18">
        <v>11960.228999999999</v>
      </c>
      <c r="H229" s="18">
        <v>0.52293297949686701</v>
      </c>
      <c r="I229" s="18">
        <v>0.79980446445896325</v>
      </c>
      <c r="K229" s="18">
        <v>13.229022026062012</v>
      </c>
      <c r="L229" s="18">
        <v>0.7086570198486577</v>
      </c>
      <c r="M229" s="18">
        <v>0.95777884353017162</v>
      </c>
    </row>
    <row r="230" spans="2:13">
      <c r="B230" s="18">
        <v>219</v>
      </c>
      <c r="C230" s="18">
        <v>7864.0744999999997</v>
      </c>
      <c r="D230" s="18">
        <v>7.7371864306452848E-2</v>
      </c>
      <c r="E230" s="18">
        <v>6.3110529501006082E-2</v>
      </c>
      <c r="G230" s="18">
        <v>11963.218000000001</v>
      </c>
      <c r="H230" s="18">
        <v>0.52279498545364134</v>
      </c>
      <c r="I230" s="18">
        <v>0.79909247763723923</v>
      </c>
      <c r="K230" s="18">
        <v>13.230360984802246</v>
      </c>
      <c r="L230" s="18">
        <v>0.70851902580543202</v>
      </c>
      <c r="M230" s="18">
        <v>0.95772218235170881</v>
      </c>
    </row>
    <row r="231" spans="2:13">
      <c r="B231" s="18">
        <v>220</v>
      </c>
      <c r="C231" s="18">
        <v>7870.05</v>
      </c>
      <c r="D231" s="18">
        <v>7.5114933951216156E-2</v>
      </c>
      <c r="E231" s="18">
        <v>6.2145047476643699E-2</v>
      </c>
      <c r="G231" s="18">
        <v>11965.358</v>
      </c>
      <c r="H231" s="18">
        <v>0.52265699141041566</v>
      </c>
      <c r="I231" s="18">
        <v>0.7985814873380439</v>
      </c>
      <c r="K231" s="18">
        <v>13.238157272338867</v>
      </c>
      <c r="L231" s="18">
        <v>0.70838103176220635</v>
      </c>
      <c r="M231" s="18">
        <v>0.95739087803157197</v>
      </c>
    </row>
    <row r="232" spans="2:13">
      <c r="B232" s="18">
        <v>221</v>
      </c>
      <c r="C232" s="18">
        <v>7871.9179999999997</v>
      </c>
      <c r="D232" s="18">
        <v>7.4976939907990509E-2</v>
      </c>
      <c r="E232" s="18">
        <v>6.1845298207142359E-2</v>
      </c>
      <c r="G232" s="18">
        <v>11967.643</v>
      </c>
      <c r="H232" s="18">
        <v>0.52251899736718999</v>
      </c>
      <c r="I232" s="18">
        <v>0.79803473286139426</v>
      </c>
      <c r="K232" s="18">
        <v>13.251519203186035</v>
      </c>
      <c r="L232" s="18">
        <v>0.70833650087440347</v>
      </c>
      <c r="M232" s="18">
        <v>0.95681752524054786</v>
      </c>
    </row>
    <row r="233" spans="2:13">
      <c r="B233" s="18">
        <v>222</v>
      </c>
      <c r="C233" s="18">
        <v>7874.8905000000004</v>
      </c>
      <c r="D233" s="18">
        <v>7.376959687631951E-2</v>
      </c>
      <c r="E233" s="18">
        <v>6.1370344089164343E-2</v>
      </c>
      <c r="G233" s="18">
        <v>11969.858</v>
      </c>
      <c r="H233" s="18">
        <v>0.52247446647938711</v>
      </c>
      <c r="I233" s="18">
        <v>0.79750360209894178</v>
      </c>
      <c r="K233" s="18">
        <v>13.253626823425293</v>
      </c>
      <c r="L233" s="18">
        <v>0.7081985068311778</v>
      </c>
      <c r="M233" s="18">
        <v>0.95672644606852419</v>
      </c>
    </row>
    <row r="234" spans="2:13">
      <c r="B234" s="18">
        <v>223</v>
      </c>
      <c r="C234" s="18">
        <v>7876.6355000000003</v>
      </c>
      <c r="D234" s="18">
        <v>7.0272806243368235E-2</v>
      </c>
      <c r="E234" s="18">
        <v>6.1092682912479969E-2</v>
      </c>
      <c r="G234" s="18">
        <v>11970.027</v>
      </c>
      <c r="H234" s="18">
        <v>0.52246630341889178</v>
      </c>
      <c r="I234" s="18">
        <v>0.79746303236122951</v>
      </c>
      <c r="K234" s="18">
        <v>13.276176452636719</v>
      </c>
      <c r="L234" s="18">
        <v>0.70806051278795212</v>
      </c>
      <c r="M234" s="18">
        <v>0.95574091410423967</v>
      </c>
    </row>
    <row r="235" spans="2:13">
      <c r="B235" s="18">
        <v>224</v>
      </c>
      <c r="C235" s="18">
        <v>7883.5659999999998</v>
      </c>
      <c r="D235" s="18">
        <v>7.0134812200142588E-2</v>
      </c>
      <c r="E235" s="18">
        <v>5.9998367865346791E-2</v>
      </c>
      <c r="G235" s="18">
        <v>11974.33</v>
      </c>
      <c r="H235" s="18">
        <v>0.52245814035839644</v>
      </c>
      <c r="I235" s="18">
        <v>0.79642788729243386</v>
      </c>
      <c r="K235" s="18">
        <v>13.279438018798828</v>
      </c>
      <c r="L235" s="18">
        <v>0.70801598190014925</v>
      </c>
      <c r="M235" s="18">
        <v>0.95559667907171719</v>
      </c>
    </row>
    <row r="236" spans="2:13">
      <c r="B236" s="18">
        <v>225</v>
      </c>
      <c r="C236" s="18">
        <v>7883.7915000000003</v>
      </c>
      <c r="D236" s="18">
        <v>6.9592696129572515E-2</v>
      </c>
      <c r="E236" s="18">
        <v>5.9962988296836849E-2</v>
      </c>
      <c r="G236" s="18">
        <v>11975.695</v>
      </c>
      <c r="H236" s="18">
        <v>0.52241360947059357</v>
      </c>
      <c r="I236" s="18">
        <v>0.79609864194917035</v>
      </c>
      <c r="K236" s="18">
        <v>13.293807983398438</v>
      </c>
      <c r="L236" s="18">
        <v>0.70787798785692357</v>
      </c>
      <c r="M236" s="18">
        <v>0.95495606584234072</v>
      </c>
    </row>
    <row r="237" spans="2:13">
      <c r="B237" s="18">
        <v>226</v>
      </c>
      <c r="C237" s="18">
        <v>7884.8270000000002</v>
      </c>
      <c r="D237" s="18">
        <v>6.9050580059002442E-2</v>
      </c>
      <c r="E237" s="18">
        <v>5.9800707730991658E-2</v>
      </c>
      <c r="G237" s="18">
        <v>11977.156999999999</v>
      </c>
      <c r="H237" s="18">
        <v>0.52236907858279069</v>
      </c>
      <c r="I237" s="18">
        <v>0.79574553121219516</v>
      </c>
      <c r="K237" s="18">
        <v>13.307661056518555</v>
      </c>
      <c r="L237" s="18">
        <v>0.7077399938136979</v>
      </c>
      <c r="M237" s="18">
        <v>0.95433050401680264</v>
      </c>
    </row>
    <row r="238" spans="2:13">
      <c r="B238" s="18">
        <v>227</v>
      </c>
      <c r="C238" s="18">
        <v>7884.9989999999998</v>
      </c>
      <c r="D238" s="18">
        <v>6.6793649703765737E-2</v>
      </c>
      <c r="E238" s="18">
        <v>5.977378149465002E-2</v>
      </c>
      <c r="G238" s="18">
        <v>11982.342000000001</v>
      </c>
      <c r="H238" s="18">
        <v>0.5218269625122206</v>
      </c>
      <c r="I238" s="18">
        <v>0.79448930901075221</v>
      </c>
      <c r="K238" s="18">
        <v>13.31362247467041</v>
      </c>
      <c r="L238" s="18">
        <v>0.70760199977047222</v>
      </c>
      <c r="M238" s="18">
        <v>0.95405886841153686</v>
      </c>
    </row>
    <row r="239" spans="2:13">
      <c r="B239" s="18">
        <v>228</v>
      </c>
      <c r="C239" s="18">
        <v>7886.0675000000001</v>
      </c>
      <c r="D239" s="18">
        <v>6.6251533633195664E-2</v>
      </c>
      <c r="E239" s="18">
        <v>5.9606695759931945E-2</v>
      </c>
      <c r="G239" s="18">
        <v>11987.763000000001</v>
      </c>
      <c r="H239" s="18">
        <v>0.52181879945172527</v>
      </c>
      <c r="I239" s="18">
        <v>0.79316937352475958</v>
      </c>
      <c r="K239" s="18">
        <v>13.332456588745117</v>
      </c>
      <c r="L239" s="18">
        <v>0.70759383670997689</v>
      </c>
      <c r="M239" s="18">
        <v>0.95319094895822454</v>
      </c>
    </row>
    <row r="240" spans="2:13">
      <c r="B240" s="18">
        <v>229</v>
      </c>
      <c r="C240" s="18">
        <v>7893.9944999999998</v>
      </c>
      <c r="D240" s="18">
        <v>6.6243370572700272E-2</v>
      </c>
      <c r="E240" s="18">
        <v>5.8377090964774038E-2</v>
      </c>
      <c r="G240" s="18">
        <v>11991.040999999999</v>
      </c>
      <c r="H240" s="18">
        <v>0.52168080540849959</v>
      </c>
      <c r="I240" s="18">
        <v>0.79236798031436395</v>
      </c>
      <c r="K240" s="18">
        <v>13.354397773742676</v>
      </c>
      <c r="L240" s="18">
        <v>0.70758567364948155</v>
      </c>
      <c r="M240" s="18">
        <v>0.95216097326763938</v>
      </c>
    </row>
    <row r="241" spans="2:13">
      <c r="B241" s="18">
        <v>230</v>
      </c>
      <c r="C241" s="18">
        <v>7897.9409999999998</v>
      </c>
      <c r="D241" s="18">
        <v>6.3986440217463567E-2</v>
      </c>
      <c r="E241" s="18">
        <v>5.7771463524485603E-2</v>
      </c>
      <c r="G241" s="18">
        <v>11994.058999999999</v>
      </c>
      <c r="H241" s="18">
        <v>0.52154281136527392</v>
      </c>
      <c r="I241" s="18">
        <v>0.79162798358016562</v>
      </c>
      <c r="K241" s="18">
        <v>13.357977867126465</v>
      </c>
      <c r="L241" s="18">
        <v>0.70744767960625587</v>
      </c>
      <c r="M241" s="18">
        <v>0.95199096417684881</v>
      </c>
    </row>
    <row r="242" spans="2:13">
      <c r="B242" s="18">
        <v>231</v>
      </c>
      <c r="C242" s="18">
        <v>7902.8410000000003</v>
      </c>
      <c r="D242" s="18">
        <v>6.3941909329660679E-2</v>
      </c>
      <c r="E242" s="18">
        <v>5.7025541707394337E-2</v>
      </c>
      <c r="G242" s="18">
        <v>11999.584999999999</v>
      </c>
      <c r="H242" s="18">
        <v>0.52140481732204824</v>
      </c>
      <c r="I242" s="18">
        <v>0.79026764532697424</v>
      </c>
      <c r="K242" s="18">
        <v>13.397314071655273</v>
      </c>
      <c r="L242" s="18">
        <v>0.7073096855630302</v>
      </c>
      <c r="M242" s="18">
        <v>0.9500863393617901</v>
      </c>
    </row>
    <row r="243" spans="2:13">
      <c r="B243" s="18">
        <v>232</v>
      </c>
      <c r="C243" s="18">
        <v>7905.241</v>
      </c>
      <c r="D243" s="18">
        <v>6.3803915286435031E-2</v>
      </c>
      <c r="E243" s="18">
        <v>5.666262379803446E-2</v>
      </c>
      <c r="G243" s="18">
        <v>12002.617</v>
      </c>
      <c r="H243" s="18">
        <v>0.52139665426155291</v>
      </c>
      <c r="I243" s="18">
        <v>0.78951828739720309</v>
      </c>
      <c r="K243" s="18">
        <v>13.402802467346191</v>
      </c>
      <c r="L243" s="18">
        <v>0.70717169151980452</v>
      </c>
      <c r="M243" s="18">
        <v>0.94981518654740216</v>
      </c>
    </row>
    <row r="244" spans="2:13">
      <c r="B244" s="18">
        <v>233</v>
      </c>
      <c r="C244" s="18">
        <v>7906.3665000000001</v>
      </c>
      <c r="D244" s="18">
        <v>6.3261799215864958E-2</v>
      </c>
      <c r="E244" s="18">
        <v>5.6492980215854416E-2</v>
      </c>
      <c r="G244" s="18">
        <v>12003.755999999999</v>
      </c>
      <c r="H244" s="18">
        <v>0.52125866021832723</v>
      </c>
      <c r="I244" s="18">
        <v>0.78923623960312106</v>
      </c>
      <c r="K244" s="18">
        <v>13.417252540588379</v>
      </c>
      <c r="L244" s="18">
        <v>0.70703369747657885</v>
      </c>
      <c r="M244" s="18">
        <v>0.94909485077443601</v>
      </c>
    </row>
    <row r="245" spans="2:13">
      <c r="B245" s="18">
        <v>234</v>
      </c>
      <c r="C245" s="18">
        <v>7906.857</v>
      </c>
      <c r="D245" s="18">
        <v>6.2054456184193967E-2</v>
      </c>
      <c r="E245" s="18">
        <v>5.6419158214155961E-2</v>
      </c>
      <c r="G245" s="18">
        <v>12012.548000000001</v>
      </c>
      <c r="H245" s="18">
        <v>0.52112066617510155</v>
      </c>
      <c r="I245" s="18">
        <v>0.78704907826456794</v>
      </c>
      <c r="K245" s="18">
        <v>13.435183525085449</v>
      </c>
      <c r="L245" s="18">
        <v>0.70689570343335317</v>
      </c>
      <c r="M245" s="18">
        <v>0.94818789827213601</v>
      </c>
    </row>
    <row r="246" spans="2:13">
      <c r="B246" s="18">
        <v>235</v>
      </c>
      <c r="C246" s="18">
        <v>7908.3429999999998</v>
      </c>
      <c r="D246" s="18">
        <v>6.0847113152522975E-2</v>
      </c>
      <c r="E246" s="18">
        <v>5.6195916293257285E-2</v>
      </c>
      <c r="G246" s="18">
        <v>12023.162</v>
      </c>
      <c r="H246" s="18">
        <v>0.52057855010453147</v>
      </c>
      <c r="I246" s="18">
        <v>0.78438496435752758</v>
      </c>
      <c r="K246" s="18">
        <v>13.466150283813477</v>
      </c>
      <c r="L246" s="18">
        <v>0.7067577093901275</v>
      </c>
      <c r="M246" s="18">
        <v>0.94658688345820274</v>
      </c>
    </row>
    <row r="247" spans="2:13">
      <c r="B247" s="18">
        <v>236</v>
      </c>
      <c r="C247" s="18">
        <v>7915.2430000000004</v>
      </c>
      <c r="D247" s="18">
        <v>5.9639770120851983E-2</v>
      </c>
      <c r="E247" s="18">
        <v>5.5167320566644494E-2</v>
      </c>
      <c r="G247" s="18">
        <v>12025.763000000001</v>
      </c>
      <c r="H247" s="18">
        <v>0.52044055606130579</v>
      </c>
      <c r="I247" s="18">
        <v>0.7837281478214837</v>
      </c>
      <c r="K247" s="18">
        <v>13.473003387451172</v>
      </c>
      <c r="L247" s="18">
        <v>0.70671317850232462</v>
      </c>
      <c r="M247" s="18">
        <v>0.9462265434476671</v>
      </c>
    </row>
    <row r="248" spans="2:13">
      <c r="B248" s="18">
        <v>237</v>
      </c>
      <c r="C248" s="18">
        <v>7918.5225</v>
      </c>
      <c r="D248" s="18">
        <v>5.9097654050281903E-2</v>
      </c>
      <c r="E248" s="18">
        <v>5.4683039338357491E-2</v>
      </c>
      <c r="G248" s="18">
        <v>12025.766</v>
      </c>
      <c r="H248" s="18">
        <v>0.5037218496207938</v>
      </c>
      <c r="I248" s="18">
        <v>0.78372738934489272</v>
      </c>
      <c r="K248" s="18">
        <v>13.477879524230957</v>
      </c>
      <c r="L248" s="18">
        <v>0.70666864761452175</v>
      </c>
      <c r="M248" s="18">
        <v>0.94596880882795931</v>
      </c>
    </row>
    <row r="249" spans="2:13">
      <c r="B249" s="18">
        <v>238</v>
      </c>
      <c r="C249" s="18">
        <v>7920.7520000000004</v>
      </c>
      <c r="D249" s="18">
        <v>5.9053123162479015E-2</v>
      </c>
      <c r="E249" s="18">
        <v>5.4355498802611819E-2</v>
      </c>
      <c r="G249" s="18">
        <v>12027.552</v>
      </c>
      <c r="H249" s="18">
        <v>0.50358385557756813</v>
      </c>
      <c r="I249" s="18">
        <v>0.78327547353001759</v>
      </c>
      <c r="K249" s="18">
        <v>13.482427597045898</v>
      </c>
      <c r="L249" s="18">
        <v>0.70653065357129607</v>
      </c>
      <c r="M249" s="18">
        <v>0.94572740255872112</v>
      </c>
    </row>
    <row r="250" spans="2:13">
      <c r="B250" s="18">
        <v>239</v>
      </c>
      <c r="C250" s="18">
        <v>7922.9859999999999</v>
      </c>
      <c r="D250" s="18">
        <v>5.7845780130808024E-2</v>
      </c>
      <c r="E250" s="18">
        <v>5.4028665336785957E-2</v>
      </c>
      <c r="G250" s="18">
        <v>12027.98</v>
      </c>
      <c r="H250" s="18">
        <v>0.50353932468976526</v>
      </c>
      <c r="I250" s="18">
        <v>0.78316706608727737</v>
      </c>
      <c r="K250" s="18">
        <v>13.496177673339844</v>
      </c>
      <c r="L250" s="18">
        <v>0.7063926595280704</v>
      </c>
      <c r="M250" s="18">
        <v>0.94499158975340902</v>
      </c>
    </row>
    <row r="251" spans="2:13">
      <c r="B251" s="18">
        <v>240</v>
      </c>
      <c r="C251" s="18">
        <v>7925.1220000000003</v>
      </c>
      <c r="D251" s="18">
        <v>5.7707786087582376E-2</v>
      </c>
      <c r="E251" s="18">
        <v>5.3717448186281103E-2</v>
      </c>
      <c r="G251" s="18">
        <v>12035.15</v>
      </c>
      <c r="H251" s="18">
        <v>0.48682061824925327</v>
      </c>
      <c r="I251" s="18">
        <v>0.78134468082981756</v>
      </c>
      <c r="K251" s="18">
        <v>13.503764152526855</v>
      </c>
      <c r="L251" s="18">
        <v>0.70625466548484472</v>
      </c>
      <c r="M251" s="18">
        <v>0.94458174209285362</v>
      </c>
    </row>
    <row r="252" spans="2:13">
      <c r="B252" s="18">
        <v>241</v>
      </c>
      <c r="C252" s="18">
        <v>7925.9695000000002</v>
      </c>
      <c r="D252" s="18">
        <v>5.7569792044356728E-2</v>
      </c>
      <c r="E252" s="18">
        <v>5.3594312719003147E-2</v>
      </c>
      <c r="G252" s="18">
        <v>12054.898999999999</v>
      </c>
      <c r="H252" s="18">
        <v>0.48668262420602759</v>
      </c>
      <c r="I252" s="18">
        <v>0.77626336994943568</v>
      </c>
      <c r="K252" s="18">
        <v>13.510305404663086</v>
      </c>
      <c r="L252" s="18">
        <v>0.70611667144161905</v>
      </c>
      <c r="M252" s="18">
        <v>0.94422613622460627</v>
      </c>
    </row>
    <row r="253" spans="2:13">
      <c r="B253" s="18">
        <v>242</v>
      </c>
      <c r="C253" s="18">
        <v>7926.7494999999999</v>
      </c>
      <c r="D253" s="18">
        <v>5.6362449012685736E-2</v>
      </c>
      <c r="E253" s="18">
        <v>5.3481158098295893E-2</v>
      </c>
      <c r="G253" s="18">
        <v>12057.456</v>
      </c>
      <c r="H253" s="18">
        <v>0.48663809331822472</v>
      </c>
      <c r="I253" s="18">
        <v>0.77559882125567992</v>
      </c>
      <c r="K253" s="18">
        <v>13.528200149536133</v>
      </c>
      <c r="L253" s="18">
        <v>0.70597867739839337</v>
      </c>
      <c r="M253" s="18">
        <v>0.94324269986320952</v>
      </c>
    </row>
    <row r="254" spans="2:13">
      <c r="B254" s="18">
        <v>243</v>
      </c>
      <c r="C254" s="18">
        <v>7929.518</v>
      </c>
      <c r="D254" s="18">
        <v>5.5155105981014745E-2</v>
      </c>
      <c r="E254" s="18">
        <v>5.3080873871301004E-2</v>
      </c>
      <c r="G254" s="18">
        <v>12063.7</v>
      </c>
      <c r="H254" s="18">
        <v>0.48650009927499904</v>
      </c>
      <c r="I254" s="18">
        <v>0.77396962025327143</v>
      </c>
      <c r="K254" s="18">
        <v>13.541327476501465</v>
      </c>
      <c r="L254" s="18">
        <v>0.7058406833551677</v>
      </c>
      <c r="M254" s="18">
        <v>0.94251128570015807</v>
      </c>
    </row>
    <row r="255" spans="2:13">
      <c r="B255" s="18">
        <v>244</v>
      </c>
      <c r="C255" s="18">
        <v>7935.6085000000003</v>
      </c>
      <c r="D255" s="18">
        <v>5.3947762949343753E-2</v>
      </c>
      <c r="E255" s="18">
        <v>5.2207633126493257E-2</v>
      </c>
      <c r="G255" s="18">
        <v>12070.271000000001</v>
      </c>
      <c r="H255" s="18">
        <v>0.48636210523177337</v>
      </c>
      <c r="I255" s="18">
        <v>0.77224523874763507</v>
      </c>
      <c r="K255" s="18">
        <v>13.571276664733887</v>
      </c>
      <c r="L255" s="18">
        <v>0.70579615246736482</v>
      </c>
      <c r="M255" s="18">
        <v>0.94081050448713854</v>
      </c>
    </row>
    <row r="256" spans="2:13">
      <c r="B256" s="18">
        <v>245</v>
      </c>
      <c r="C256" s="18">
        <v>7936.6045000000004</v>
      </c>
      <c r="D256" s="18">
        <v>5.3405646878773673E-2</v>
      </c>
      <c r="E256" s="18">
        <v>5.2065789220112978E-2</v>
      </c>
      <c r="G256" s="18">
        <v>12070.371999999999</v>
      </c>
      <c r="H256" s="18">
        <v>0.48581998916120328</v>
      </c>
      <c r="I256" s="18">
        <v>0.77221865502521447</v>
      </c>
      <c r="K256" s="18">
        <v>13.572399139404297</v>
      </c>
      <c r="L256" s="18">
        <v>0.70565815842413915</v>
      </c>
      <c r="M256" s="18">
        <v>0.94074588277138582</v>
      </c>
    </row>
    <row r="257" spans="2:13">
      <c r="B257" s="18">
        <v>246</v>
      </c>
      <c r="C257" s="18">
        <v>7937.7370000000001</v>
      </c>
      <c r="D257" s="18">
        <v>5.2863530808203593E-2</v>
      </c>
      <c r="E257" s="18">
        <v>5.1904833147857959E-2</v>
      </c>
      <c r="G257" s="18">
        <v>12073.227000000001</v>
      </c>
      <c r="H257" s="18">
        <v>0.48577545827340041</v>
      </c>
      <c r="I257" s="18">
        <v>0.77146621393695447</v>
      </c>
      <c r="K257" s="18">
        <v>13.588135719299316</v>
      </c>
      <c r="L257" s="18">
        <v>0.70552016438091347</v>
      </c>
      <c r="M257" s="18">
        <v>0.93983316138275619</v>
      </c>
    </row>
    <row r="258" spans="2:13">
      <c r="B258" s="18">
        <v>247</v>
      </c>
      <c r="C258" s="18">
        <v>7940.81</v>
      </c>
      <c r="D258" s="18">
        <v>5.2321414737633513E-2</v>
      </c>
      <c r="E258" s="18">
        <v>5.1469836926426864E-2</v>
      </c>
      <c r="G258" s="18">
        <v>12080.102000000001</v>
      </c>
      <c r="H258" s="18">
        <v>0.48573092738559753</v>
      </c>
      <c r="I258" s="18">
        <v>0.76964643633936103</v>
      </c>
      <c r="K258" s="18">
        <v>13.629913330078125</v>
      </c>
      <c r="L258" s="18">
        <v>0.7054756334931106</v>
      </c>
      <c r="M258" s="18">
        <v>0.9373479830550917</v>
      </c>
    </row>
    <row r="259" spans="2:13">
      <c r="B259" s="18">
        <v>248</v>
      </c>
      <c r="C259" s="18">
        <v>7945.1205</v>
      </c>
      <c r="D259" s="18">
        <v>5.2313251677138128E-2</v>
      </c>
      <c r="E259" s="18">
        <v>5.0863974847232894E-2</v>
      </c>
      <c r="G259" s="18">
        <v>12080.422</v>
      </c>
      <c r="H259" s="18">
        <v>0.48572276432510214</v>
      </c>
      <c r="I259" s="18">
        <v>0.76956146326041652</v>
      </c>
      <c r="K259" s="18">
        <v>13.641864776611328</v>
      </c>
      <c r="L259" s="18">
        <v>0.70543110260530772</v>
      </c>
      <c r="M259" s="18">
        <v>0.93662016236426315</v>
      </c>
    </row>
    <row r="260" spans="2:13">
      <c r="B260" s="18">
        <v>249</v>
      </c>
      <c r="C260" s="18">
        <v>7947.0855000000001</v>
      </c>
      <c r="D260" s="18">
        <v>5.1771135606568049E-2</v>
      </c>
      <c r="E260" s="18">
        <v>5.0589449703603788E-2</v>
      </c>
      <c r="G260" s="18">
        <v>12081.634</v>
      </c>
      <c r="H260" s="18">
        <v>0.48567823343729927</v>
      </c>
      <c r="I260" s="18">
        <v>0.76923940923676914</v>
      </c>
      <c r="K260" s="18">
        <v>13.659306526184082</v>
      </c>
      <c r="L260" s="18">
        <v>0.70529310856208205</v>
      </c>
      <c r="M260" s="18">
        <v>0.93554427897492909</v>
      </c>
    </row>
    <row r="261" spans="2:13">
      <c r="B261" s="18">
        <v>250</v>
      </c>
      <c r="C261" s="18">
        <v>7951.8085000000001</v>
      </c>
      <c r="D261" s="18">
        <v>5.1762972546072664E-2</v>
      </c>
      <c r="E261" s="18">
        <v>4.9933866055152092E-2</v>
      </c>
      <c r="G261" s="18">
        <v>12081.728999999999</v>
      </c>
      <c r="H261" s="18">
        <v>0.48554023939407359</v>
      </c>
      <c r="I261" s="18">
        <v>0.76921415111559654</v>
      </c>
      <c r="K261" s="18">
        <v>13.663948059082031</v>
      </c>
      <c r="L261" s="18">
        <v>0.70515511451885637</v>
      </c>
      <c r="M261" s="18">
        <v>0.9352552041185096</v>
      </c>
    </row>
    <row r="262" spans="2:13">
      <c r="B262" s="18">
        <v>251</v>
      </c>
      <c r="C262" s="18">
        <v>7959.1374999999998</v>
      </c>
      <c r="D262" s="18">
        <v>5.1220856475502584E-2</v>
      </c>
      <c r="E262" s="18">
        <v>4.8928409426105733E-2</v>
      </c>
      <c r="G262" s="18">
        <v>12087.064</v>
      </c>
      <c r="H262" s="18">
        <v>0.48549570850627072</v>
      </c>
      <c r="I262" s="18">
        <v>0.76779229675952987</v>
      </c>
      <c r="K262" s="18">
        <v>13.679931640625</v>
      </c>
      <c r="L262" s="18">
        <v>0.70461299844828629</v>
      </c>
      <c r="M262" s="18">
        <v>0.9342507705667491</v>
      </c>
    </row>
    <row r="263" spans="2:13">
      <c r="B263" s="18">
        <v>252</v>
      </c>
      <c r="C263" s="18">
        <v>7960.1205</v>
      </c>
      <c r="D263" s="18">
        <v>5.1082862432276936E-2</v>
      </c>
      <c r="E263" s="18">
        <v>4.8794646142570258E-2</v>
      </c>
      <c r="G263" s="18">
        <v>12090.888999999999</v>
      </c>
      <c r="H263" s="18">
        <v>0.48535771446304504</v>
      </c>
      <c r="I263" s="18">
        <v>0.76676874957773189</v>
      </c>
      <c r="K263" s="18">
        <v>13.685076713562012</v>
      </c>
      <c r="L263" s="18">
        <v>0.70456846756048341</v>
      </c>
      <c r="M263" s="18">
        <v>0.9339244676620434</v>
      </c>
    </row>
    <row r="264" spans="2:13">
      <c r="B264" s="18">
        <v>253</v>
      </c>
      <c r="C264" s="18">
        <v>7961.2614999999996</v>
      </c>
      <c r="D264" s="18">
        <v>5.1038331544474048E-2</v>
      </c>
      <c r="E264" s="18">
        <v>4.863970627200799E-2</v>
      </c>
      <c r="G264" s="18">
        <v>12103.352000000001</v>
      </c>
      <c r="H264" s="18">
        <v>0.46863900802253311</v>
      </c>
      <c r="I264" s="18">
        <v>0.763409752259403</v>
      </c>
      <c r="K264" s="18">
        <v>13.686276435852051</v>
      </c>
      <c r="L264" s="18">
        <v>0.70443047351725774</v>
      </c>
      <c r="M264" s="18">
        <v>0.93384817103081708</v>
      </c>
    </row>
    <row r="265" spans="2:13">
      <c r="B265" s="18">
        <v>254</v>
      </c>
      <c r="C265" s="18">
        <v>7962.4629999999997</v>
      </c>
      <c r="D265" s="18">
        <v>5.0900337501248401E-2</v>
      </c>
      <c r="E265" s="18">
        <v>4.8476926318968175E-2</v>
      </c>
      <c r="G265" s="18">
        <v>12120.851000000001</v>
      </c>
      <c r="H265" s="18">
        <v>0.46809689195196302</v>
      </c>
      <c r="I265" s="18">
        <v>0.75863136713483614</v>
      </c>
      <c r="K265" s="18">
        <v>13.687596321105957</v>
      </c>
      <c r="L265" s="18">
        <v>0.7044223104567624</v>
      </c>
      <c r="M265" s="18">
        <v>0.93376414082506665</v>
      </c>
    </row>
    <row r="266" spans="2:13">
      <c r="B266" s="18">
        <v>255</v>
      </c>
      <c r="C266" s="18">
        <v>7963.4</v>
      </c>
      <c r="D266" s="18">
        <v>5.0358221430678321E-2</v>
      </c>
      <c r="E266" s="18">
        <v>4.8350248026585961E-2</v>
      </c>
      <c r="G266" s="18">
        <v>12132.618</v>
      </c>
      <c r="H266" s="18">
        <v>0.46755477588139294</v>
      </c>
      <c r="I266" s="18">
        <v>0.75537727399012344</v>
      </c>
      <c r="K266" s="18">
        <v>13.696569442749023</v>
      </c>
      <c r="L266" s="18">
        <v>0.70428431641353673</v>
      </c>
      <c r="M266" s="18">
        <v>0.93319031285553555</v>
      </c>
    </row>
    <row r="267" spans="2:13">
      <c r="B267" s="18">
        <v>256</v>
      </c>
      <c r="C267" s="18">
        <v>7963.4709999999995</v>
      </c>
      <c r="D267" s="18">
        <v>5.0220227387452673E-2</v>
      </c>
      <c r="E267" s="18">
        <v>4.8340658670208612E-2</v>
      </c>
      <c r="G267" s="18">
        <v>12156.767</v>
      </c>
      <c r="H267" s="18">
        <v>0.46751024499359006</v>
      </c>
      <c r="I267" s="18">
        <v>0.7485955476282109</v>
      </c>
      <c r="K267" s="18">
        <v>13.721676826477051</v>
      </c>
      <c r="L267" s="18">
        <v>0.70414632237031105</v>
      </c>
      <c r="M267" s="18">
        <v>0.93156081879061536</v>
      </c>
    </row>
    <row r="268" spans="2:13">
      <c r="B268" s="18">
        <v>257</v>
      </c>
      <c r="C268" s="18">
        <v>7969.4690000000001</v>
      </c>
      <c r="D268" s="18">
        <v>4.9678111316882594E-2</v>
      </c>
      <c r="E268" s="18">
        <v>4.7535400427921329E-2</v>
      </c>
      <c r="G268" s="18">
        <v>12160.609</v>
      </c>
      <c r="H268" s="18">
        <v>0.46746571410578719</v>
      </c>
      <c r="I268" s="18">
        <v>0.74750374308775469</v>
      </c>
      <c r="K268" s="18">
        <v>13.731443405151367</v>
      </c>
      <c r="L268" s="18">
        <v>0.70360420629974096</v>
      </c>
      <c r="M268" s="18">
        <v>0.93091734922640323</v>
      </c>
    </row>
    <row r="269" spans="2:13">
      <c r="B269" s="18">
        <v>258</v>
      </c>
      <c r="C269" s="18">
        <v>7970.0604999999996</v>
      </c>
      <c r="D269" s="18">
        <v>4.9540117273656946E-2</v>
      </c>
      <c r="E269" s="18">
        <v>4.7456506238707223E-2</v>
      </c>
      <c r="G269" s="18">
        <v>12160.717000000001</v>
      </c>
      <c r="H269" s="18">
        <v>0.46732772006256151</v>
      </c>
      <c r="I269" s="18">
        <v>0.74747300096521596</v>
      </c>
      <c r="K269" s="18">
        <v>13.741439819335938</v>
      </c>
      <c r="L269" s="18">
        <v>0.70346621225651529</v>
      </c>
      <c r="M269" s="18">
        <v>0.93025310300969</v>
      </c>
    </row>
    <row r="270" spans="2:13">
      <c r="B270" s="18">
        <v>259</v>
      </c>
      <c r="C270" s="18">
        <v>7972.1035000000002</v>
      </c>
      <c r="D270" s="18">
        <v>4.8998001203086866E-2</v>
      </c>
      <c r="E270" s="18">
        <v>4.7184723938873747E-2</v>
      </c>
      <c r="G270" s="18">
        <v>12162.334999999999</v>
      </c>
      <c r="H270" s="18">
        <v>0.46728318917475864</v>
      </c>
      <c r="I270" s="18">
        <v>0.74701210377417471</v>
      </c>
      <c r="K270" s="18">
        <v>13.754462242126465</v>
      </c>
      <c r="L270" s="18">
        <v>0.70342168136871241</v>
      </c>
      <c r="M270" s="18">
        <v>0.92937916718499514</v>
      </c>
    </row>
    <row r="271" spans="2:13">
      <c r="B271" s="18">
        <v>260</v>
      </c>
      <c r="C271" s="18">
        <v>7975.643</v>
      </c>
      <c r="D271" s="18">
        <v>4.8953470315283978E-2</v>
      </c>
      <c r="E271" s="18">
        <v>4.6716473182083607E-2</v>
      </c>
      <c r="G271" s="18">
        <v>12164.101000000001</v>
      </c>
      <c r="H271" s="18">
        <v>0.46714519513153296</v>
      </c>
      <c r="I271" s="18">
        <v>0.74650833160873875</v>
      </c>
      <c r="K271" s="18">
        <v>13.756754875183105</v>
      </c>
      <c r="L271" s="18">
        <v>0.70328368732548674</v>
      </c>
      <c r="M271" s="18">
        <v>0.9292242930561424</v>
      </c>
    </row>
    <row r="272" spans="2:13">
      <c r="B272" s="18">
        <v>261</v>
      </c>
      <c r="C272" s="18">
        <v>7977.6885000000002</v>
      </c>
      <c r="D272" s="18">
        <v>4.8908939427481091E-2</v>
      </c>
      <c r="E272" s="18">
        <v>4.6447375380649351E-2</v>
      </c>
      <c r="G272" s="18">
        <v>12167.803</v>
      </c>
      <c r="H272" s="18">
        <v>0.46660307906096288</v>
      </c>
      <c r="I272" s="18">
        <v>0.74544986571041816</v>
      </c>
      <c r="K272" s="18">
        <v>13.822353363037109</v>
      </c>
      <c r="L272" s="18">
        <v>0.70314569328226106</v>
      </c>
      <c r="M272" s="18">
        <v>0.92466162879392944</v>
      </c>
    </row>
    <row r="273" spans="2:13">
      <c r="B273" s="18">
        <v>262</v>
      </c>
      <c r="C273" s="18">
        <v>7980.7830000000004</v>
      </c>
      <c r="D273" s="18">
        <v>4.8366823356911011E-2</v>
      </c>
      <c r="E273" s="18">
        <v>4.6042369120776652E-2</v>
      </c>
      <c r="G273" s="18">
        <v>12171.002</v>
      </c>
      <c r="H273" s="18">
        <v>0.46655854817316</v>
      </c>
      <c r="I273" s="18">
        <v>0.74453256808969825</v>
      </c>
      <c r="K273" s="18">
        <v>13.833733558654785</v>
      </c>
      <c r="L273" s="18">
        <v>0.70300769923903539</v>
      </c>
      <c r="M273" s="18">
        <v>0.92384377225729231</v>
      </c>
    </row>
    <row r="274" spans="2:13">
      <c r="B274" s="18">
        <v>263</v>
      </c>
      <c r="C274" s="18">
        <v>7980.9835000000003</v>
      </c>
      <c r="D274" s="18">
        <v>4.8358660296415626E-2</v>
      </c>
      <c r="E274" s="18">
        <v>4.6016214644141594E-2</v>
      </c>
      <c r="G274" s="18">
        <v>12173.144</v>
      </c>
      <c r="H274" s="18">
        <v>0.46642055412993433</v>
      </c>
      <c r="I274" s="18">
        <v>0.74391698711228482</v>
      </c>
      <c r="K274" s="18">
        <v>13.843864440917969</v>
      </c>
      <c r="L274" s="18">
        <v>0.70296316835123251</v>
      </c>
      <c r="M274" s="18">
        <v>0.92310901917080168</v>
      </c>
    </row>
    <row r="275" spans="2:13">
      <c r="B275" s="18">
        <v>264</v>
      </c>
      <c r="C275" s="18">
        <v>7983.9319999999998</v>
      </c>
      <c r="D275" s="18">
        <v>4.7151317264744634E-2</v>
      </c>
      <c r="E275" s="18">
        <v>4.5632812212625391E-2</v>
      </c>
      <c r="G275" s="18">
        <v>12173.232</v>
      </c>
      <c r="H275" s="18">
        <v>0.46587843805936424</v>
      </c>
      <c r="I275" s="18">
        <v>0.74389167358086039</v>
      </c>
      <c r="K275" s="18">
        <v>13.845535278320313</v>
      </c>
      <c r="L275" s="18">
        <v>0.70242105228066243</v>
      </c>
      <c r="M275" s="18">
        <v>0.9229872321520447</v>
      </c>
    </row>
    <row r="276" spans="2:13">
      <c r="B276" s="18">
        <v>265</v>
      </c>
      <c r="C276" s="18">
        <v>7984.3720000000003</v>
      </c>
      <c r="D276" s="18">
        <v>4.7013323221518986E-2</v>
      </c>
      <c r="E276" s="18">
        <v>4.5575793127019669E-2</v>
      </c>
      <c r="G276" s="18">
        <v>12176.922</v>
      </c>
      <c r="H276" s="18">
        <v>0.46574044401613857</v>
      </c>
      <c r="I276" s="18">
        <v>0.74282855725712793</v>
      </c>
      <c r="K276" s="18">
        <v>13.891035079956055</v>
      </c>
      <c r="L276" s="18">
        <v>0.70228305823743675</v>
      </c>
      <c r="M276" s="18">
        <v>0.91960372577513638</v>
      </c>
    </row>
    <row r="277" spans="2:13">
      <c r="B277" s="18">
        <v>266</v>
      </c>
      <c r="C277" s="18">
        <v>7986.7969999999996</v>
      </c>
      <c r="D277" s="18">
        <v>4.6471207150948907E-2</v>
      </c>
      <c r="E277" s="18">
        <v>4.5262449547482785E-2</v>
      </c>
      <c r="G277" s="18">
        <v>12186.665999999999</v>
      </c>
      <c r="H277" s="18">
        <v>0.46560244997291289</v>
      </c>
      <c r="I277" s="18">
        <v>0.74000551128446712</v>
      </c>
      <c r="K277" s="18">
        <v>13.91913890838623</v>
      </c>
      <c r="L277" s="18">
        <v>0.70174094216686667</v>
      </c>
      <c r="M277" s="18">
        <v>0.91744810066258387</v>
      </c>
    </row>
    <row r="278" spans="2:13">
      <c r="B278" s="18">
        <v>267</v>
      </c>
      <c r="C278" s="18">
        <v>7990.0720000000001</v>
      </c>
      <c r="D278" s="18">
        <v>4.6333213107723259E-2</v>
      </c>
      <c r="E278" s="18">
        <v>4.4841713313229885E-2</v>
      </c>
      <c r="G278" s="18">
        <v>12192.262000000001</v>
      </c>
      <c r="H278" s="18">
        <v>0.46546445592968722</v>
      </c>
      <c r="I278" s="18">
        <v>0.73837390778580492</v>
      </c>
      <c r="K278" s="18">
        <v>13.920162200927734</v>
      </c>
      <c r="L278" s="18">
        <v>0.70169641127906379</v>
      </c>
      <c r="M278" s="18">
        <v>0.91736864842865784</v>
      </c>
    </row>
    <row r="279" spans="2:13">
      <c r="B279" s="18">
        <v>268</v>
      </c>
      <c r="C279" s="18">
        <v>7990.2120000000004</v>
      </c>
      <c r="D279" s="18">
        <v>4.6325050047227874E-2</v>
      </c>
      <c r="E279" s="18">
        <v>4.482379000921928E-2</v>
      </c>
      <c r="G279" s="18">
        <v>12207.674000000001</v>
      </c>
      <c r="H279" s="18">
        <v>0.46492233985911713</v>
      </c>
      <c r="I279" s="18">
        <v>0.73384131444066003</v>
      </c>
      <c r="K279" s="18">
        <v>13.994297981262207</v>
      </c>
      <c r="L279" s="18">
        <v>0.70155841723583812</v>
      </c>
      <c r="M279" s="18">
        <v>0.91142810003585695</v>
      </c>
    </row>
    <row r="280" spans="2:13">
      <c r="B280" s="18">
        <v>269</v>
      </c>
      <c r="C280" s="18">
        <v>7990.6085000000003</v>
      </c>
      <c r="D280" s="18">
        <v>4.6187056004002226E-2</v>
      </c>
      <c r="E280" s="18">
        <v>4.4773056371187177E-2</v>
      </c>
      <c r="G280" s="18">
        <v>12211.864</v>
      </c>
      <c r="H280" s="18">
        <v>0.46478434581589145</v>
      </c>
      <c r="I280" s="18">
        <v>0.73259916040366202</v>
      </c>
      <c r="K280" s="18">
        <v>14.00206184387207</v>
      </c>
      <c r="L280" s="18">
        <v>0.70142042319261244</v>
      </c>
      <c r="M280" s="18">
        <v>0.91078454302697343</v>
      </c>
    </row>
    <row r="281" spans="2:13">
      <c r="B281" s="18">
        <v>270</v>
      </c>
      <c r="C281" s="18">
        <v>7993.2484999999997</v>
      </c>
      <c r="D281" s="18">
        <v>4.4979712972331234E-2</v>
      </c>
      <c r="E281" s="18">
        <v>4.4436302287113066E-2</v>
      </c>
      <c r="G281" s="18">
        <v>12215.914000000001</v>
      </c>
      <c r="H281" s="18">
        <v>0.46424222974532137</v>
      </c>
      <c r="I281" s="18">
        <v>0.73139448682052555</v>
      </c>
      <c r="K281" s="18">
        <v>14.011149406433105</v>
      </c>
      <c r="L281" s="18">
        <v>0.70087830712204235</v>
      </c>
      <c r="M281" s="18">
        <v>0.91002599592591871</v>
      </c>
    </row>
    <row r="282" spans="2:13">
      <c r="B282" s="18">
        <v>271</v>
      </c>
      <c r="C282" s="18">
        <v>7997.3360000000002</v>
      </c>
      <c r="D282" s="18">
        <v>4.4437596901761155E-2</v>
      </c>
      <c r="E282" s="18">
        <v>4.3918480291324384E-2</v>
      </c>
      <c r="G282" s="18">
        <v>12219.700999999999</v>
      </c>
      <c r="H282" s="18">
        <v>0.46370011367475128</v>
      </c>
      <c r="I282" s="18">
        <v>0.73026446339465079</v>
      </c>
      <c r="K282" s="18">
        <v>14.013809204101563</v>
      </c>
      <c r="L282" s="18">
        <v>0.70074031307881668</v>
      </c>
      <c r="M282" s="18">
        <v>0.90980290096456984</v>
      </c>
    </row>
    <row r="283" spans="2:13">
      <c r="B283" s="18">
        <v>272</v>
      </c>
      <c r="C283" s="18">
        <v>7997.4234999999999</v>
      </c>
      <c r="D283" s="18">
        <v>4.4299602858535507E-2</v>
      </c>
      <c r="E283" s="18">
        <v>4.3907442788185792E-2</v>
      </c>
      <c r="G283" s="18">
        <v>12223.687</v>
      </c>
      <c r="H283" s="18">
        <v>0.46365558278694841</v>
      </c>
      <c r="I283" s="18">
        <v>0.72907132173566847</v>
      </c>
      <c r="K283" s="18">
        <v>14.014244079589844</v>
      </c>
      <c r="L283" s="18">
        <v>0.700602319035591</v>
      </c>
      <c r="M283" s="18">
        <v>0.90976637844970554</v>
      </c>
    </row>
    <row r="284" spans="2:13">
      <c r="B284" s="18">
        <v>273</v>
      </c>
      <c r="C284" s="18">
        <v>7999.6049999999996</v>
      </c>
      <c r="D284" s="18">
        <v>4.3092259826864515E-2</v>
      </c>
      <c r="E284" s="18">
        <v>4.3632902751034874E-2</v>
      </c>
      <c r="G284" s="18">
        <v>12229.552</v>
      </c>
      <c r="H284" s="18">
        <v>0.46311346671637832</v>
      </c>
      <c r="I284" s="18">
        <v>0.7273087617822076</v>
      </c>
      <c r="K284" s="18">
        <v>14.03359317779541</v>
      </c>
      <c r="L284" s="18">
        <v>0.70046432499236533</v>
      </c>
      <c r="M284" s="18">
        <v>0.90812804402191161</v>
      </c>
    </row>
    <row r="285" spans="2:13">
      <c r="B285" s="18">
        <v>274</v>
      </c>
      <c r="C285" s="18">
        <v>8001.7690000000002</v>
      </c>
      <c r="D285" s="18">
        <v>4.2550143756294435E-2</v>
      </c>
      <c r="E285" s="18">
        <v>4.3361780675877114E-2</v>
      </c>
      <c r="G285" s="18">
        <v>12232.473</v>
      </c>
      <c r="H285" s="18">
        <v>0.46310530365588293</v>
      </c>
      <c r="I285" s="18">
        <v>0.72642784046705122</v>
      </c>
      <c r="K285" s="18">
        <v>14.080909729003906</v>
      </c>
      <c r="L285" s="18">
        <v>0.70041979410456245</v>
      </c>
      <c r="M285" s="18">
        <v>0.90401023862528063</v>
      </c>
    </row>
    <row r="286" spans="2:13">
      <c r="B286" s="18">
        <v>275</v>
      </c>
      <c r="C286" s="18">
        <v>8007.4264999999996</v>
      </c>
      <c r="D286" s="18">
        <v>4.2412149713068788E-2</v>
      </c>
      <c r="E286" s="18">
        <v>4.2658670240044765E-2</v>
      </c>
      <c r="G286" s="18">
        <v>12233.844999999999</v>
      </c>
      <c r="H286" s="18">
        <v>0.46256318758531284</v>
      </c>
      <c r="I286" s="18">
        <v>0.72601335886668572</v>
      </c>
      <c r="K286" s="18">
        <v>14.081181526184082</v>
      </c>
      <c r="L286" s="18">
        <v>0.70028180006133678</v>
      </c>
      <c r="M286" s="18">
        <v>0.9039861215720949</v>
      </c>
    </row>
    <row r="287" spans="2:13">
      <c r="B287" s="18">
        <v>276</v>
      </c>
      <c r="C287" s="18">
        <v>8009.7825000000003</v>
      </c>
      <c r="D287" s="18">
        <v>4.1204806681397796E-2</v>
      </c>
      <c r="E287" s="18">
        <v>4.2368294168505356E-2</v>
      </c>
      <c r="G287" s="18">
        <v>12235.995999999999</v>
      </c>
      <c r="H287" s="18">
        <v>0.46242519354208717</v>
      </c>
      <c r="I287" s="18">
        <v>0.72536262635768245</v>
      </c>
      <c r="K287" s="18">
        <v>14.112170219421387</v>
      </c>
      <c r="L287" s="18">
        <v>0.7001438060181111</v>
      </c>
      <c r="M287" s="18">
        <v>0.90120114300389798</v>
      </c>
    </row>
    <row r="288" spans="2:13">
      <c r="B288" s="18">
        <v>277</v>
      </c>
      <c r="C288" s="18">
        <v>8021.3149999999996</v>
      </c>
      <c r="D288" s="18">
        <v>4.0662690610827716E-2</v>
      </c>
      <c r="E288" s="18">
        <v>4.0967378922646992E-2</v>
      </c>
      <c r="G288" s="18">
        <v>12250.027</v>
      </c>
      <c r="H288" s="18">
        <v>0.46188307747151708</v>
      </c>
      <c r="I288" s="18">
        <v>0.72109047710562957</v>
      </c>
      <c r="K288" s="18">
        <v>14.117085456848145</v>
      </c>
      <c r="L288" s="18">
        <v>0.70000581197488543</v>
      </c>
      <c r="M288" s="18">
        <v>0.90075292716055844</v>
      </c>
    </row>
    <row r="289" spans="2:13">
      <c r="B289" s="18">
        <v>278</v>
      </c>
      <c r="C289" s="18">
        <v>8023.3235000000004</v>
      </c>
      <c r="D289" s="18">
        <v>4.0120574540257636E-2</v>
      </c>
      <c r="E289" s="18">
        <v>4.0726852899235375E-2</v>
      </c>
      <c r="G289" s="18">
        <v>12260.069</v>
      </c>
      <c r="H289" s="18">
        <v>0.4617450834282914</v>
      </c>
      <c r="I289" s="18">
        <v>0.71800370544583469</v>
      </c>
      <c r="K289" s="18">
        <v>14.129061698913574</v>
      </c>
      <c r="L289" s="18">
        <v>0.69986781793165975</v>
      </c>
      <c r="M289" s="18">
        <v>0.89965332213976046</v>
      </c>
    </row>
    <row r="290" spans="2:13">
      <c r="B290" s="18">
        <v>279</v>
      </c>
      <c r="C290" s="18">
        <v>8023.8474999999999</v>
      </c>
      <c r="D290" s="18">
        <v>3.9578458469687557E-2</v>
      </c>
      <c r="E290" s="18">
        <v>4.0664269729513994E-2</v>
      </c>
      <c r="G290" s="18">
        <v>12267.537</v>
      </c>
      <c r="H290" s="18">
        <v>0.46170055254048853</v>
      </c>
      <c r="I290" s="18">
        <v>0.71569235612260707</v>
      </c>
      <c r="K290" s="18">
        <v>14.152168273925781</v>
      </c>
      <c r="L290" s="18">
        <v>0.69972982388843408</v>
      </c>
      <c r="M290" s="18">
        <v>0.89750146120049046</v>
      </c>
    </row>
    <row r="291" spans="2:13">
      <c r="B291" s="18">
        <v>280</v>
      </c>
      <c r="C291" s="18">
        <v>8035.2015000000001</v>
      </c>
      <c r="D291" s="18">
        <v>3.9533927581884669E-2</v>
      </c>
      <c r="E291" s="18">
        <v>3.9325215202726707E-2</v>
      </c>
      <c r="G291" s="18">
        <v>12273.257</v>
      </c>
      <c r="H291" s="18">
        <v>0.46156255849726285</v>
      </c>
      <c r="I291" s="18">
        <v>0.71391290632980853</v>
      </c>
      <c r="K291" s="18">
        <v>14.188843727111816</v>
      </c>
      <c r="L291" s="18">
        <v>0.6995918298452084</v>
      </c>
      <c r="M291" s="18">
        <v>0.8940027286649701</v>
      </c>
    </row>
    <row r="292" spans="2:13">
      <c r="B292" s="18">
        <v>281</v>
      </c>
      <c r="C292" s="18">
        <v>8040.4274999999998</v>
      </c>
      <c r="D292" s="18">
        <v>3.9395933538659021E-2</v>
      </c>
      <c r="E292" s="18">
        <v>3.8719735515064836E-2</v>
      </c>
      <c r="G292" s="18">
        <v>12285.712</v>
      </c>
      <c r="H292" s="18">
        <v>0.46142456445403718</v>
      </c>
      <c r="I292" s="18">
        <v>0.71001092728134796</v>
      </c>
      <c r="K292" s="18">
        <v>14.239205360412598</v>
      </c>
      <c r="L292" s="18">
        <v>0.69904971377463831</v>
      </c>
      <c r="M292" s="18">
        <v>0.88902817206100404</v>
      </c>
    </row>
    <row r="293" spans="2:13">
      <c r="B293" s="18">
        <v>282</v>
      </c>
      <c r="C293" s="18">
        <v>8041.1109999999999</v>
      </c>
      <c r="D293" s="18">
        <v>3.9351402650856133E-2</v>
      </c>
      <c r="E293" s="18">
        <v>3.8641049119826618E-2</v>
      </c>
      <c r="G293" s="18">
        <v>12287.157999999999</v>
      </c>
      <c r="H293" s="18">
        <v>0.4612865704108115</v>
      </c>
      <c r="I293" s="18">
        <v>0.70955549036918741</v>
      </c>
      <c r="K293" s="18">
        <v>14.262596130371094</v>
      </c>
      <c r="L293" s="18">
        <v>0.69850759770406823</v>
      </c>
      <c r="M293" s="18">
        <v>0.88664921664995111</v>
      </c>
    </row>
    <row r="294" spans="2:13">
      <c r="B294" s="18">
        <v>283</v>
      </c>
      <c r="C294" s="18">
        <v>8043.9570000000003</v>
      </c>
      <c r="D294" s="18">
        <v>3.9306871763053246E-2</v>
      </c>
      <c r="E294" s="18">
        <v>3.8314657817566052E-2</v>
      </c>
      <c r="G294" s="18">
        <v>12323.299000000001</v>
      </c>
      <c r="H294" s="18">
        <v>0.46124203952300863</v>
      </c>
      <c r="I294" s="18">
        <v>0.69800873265594754</v>
      </c>
      <c r="K294" s="18">
        <v>14.284689903259277</v>
      </c>
      <c r="L294" s="18">
        <v>0.69836960366084255</v>
      </c>
      <c r="M294" s="18">
        <v>0.88436150943273739</v>
      </c>
    </row>
    <row r="295" spans="2:13">
      <c r="B295" s="18">
        <v>284</v>
      </c>
      <c r="C295" s="18">
        <v>8048.9660000000003</v>
      </c>
      <c r="D295" s="18">
        <v>3.8764755692483166E-2</v>
      </c>
      <c r="E295" s="18">
        <v>3.7745078998101339E-2</v>
      </c>
      <c r="G295" s="18">
        <v>12327.271000000001</v>
      </c>
      <c r="H295" s="18">
        <v>0.46119750863520576</v>
      </c>
      <c r="I295" s="18">
        <v>0.69672054355872304</v>
      </c>
      <c r="K295" s="18">
        <v>14.315909385681152</v>
      </c>
      <c r="L295" s="18">
        <v>0.69782748759027247</v>
      </c>
      <c r="M295" s="18">
        <v>0.88106051363236804</v>
      </c>
    </row>
    <row r="296" spans="2:13">
      <c r="B296" s="18">
        <v>285</v>
      </c>
      <c r="C296" s="18">
        <v>8049.7780000000002</v>
      </c>
      <c r="D296" s="18">
        <v>3.8626761649257518E-2</v>
      </c>
      <c r="E296" s="18">
        <v>3.765332945727564E-2</v>
      </c>
      <c r="G296" s="18">
        <v>12337.031999999999</v>
      </c>
      <c r="H296" s="18">
        <v>0.44447880219469382</v>
      </c>
      <c r="I296" s="18">
        <v>0.69353879191958989</v>
      </c>
      <c r="K296" s="18">
        <v>14.329156875610352</v>
      </c>
      <c r="L296" s="18">
        <v>0.69778295670246959</v>
      </c>
      <c r="M296" s="18">
        <v>0.8796352806015848</v>
      </c>
    </row>
    <row r="297" spans="2:13">
      <c r="B297" s="18">
        <v>286</v>
      </c>
      <c r="C297" s="18">
        <v>8052.2049999999999</v>
      </c>
      <c r="D297" s="18">
        <v>3.8488767606031871E-2</v>
      </c>
      <c r="E297" s="18">
        <v>3.7380066067941149E-2</v>
      </c>
      <c r="G297" s="18">
        <v>12340.678</v>
      </c>
      <c r="H297" s="18">
        <v>0.44443427130689095</v>
      </c>
      <c r="I297" s="18">
        <v>0.69234445972395531</v>
      </c>
      <c r="K297" s="18">
        <v>14.348115921020508</v>
      </c>
      <c r="L297" s="18">
        <v>0.69764496265924392</v>
      </c>
      <c r="M297" s="18">
        <v>0.87756985651708486</v>
      </c>
    </row>
    <row r="298" spans="2:13">
      <c r="B298" s="18">
        <v>287</v>
      </c>
      <c r="C298" s="18">
        <v>8053.9144999999999</v>
      </c>
      <c r="D298" s="18">
        <v>3.7946651535461791E-2</v>
      </c>
      <c r="E298" s="18">
        <v>3.718845775829998E-2</v>
      </c>
      <c r="G298" s="18">
        <v>12358.195</v>
      </c>
      <c r="H298" s="18">
        <v>0.44429627726366527</v>
      </c>
      <c r="I298" s="18">
        <v>0.68656199610071333</v>
      </c>
      <c r="K298" s="18">
        <v>14.381908416748047</v>
      </c>
      <c r="L298" s="18">
        <v>0.69710284658867383</v>
      </c>
      <c r="M298" s="18">
        <v>0.87381245257313755</v>
      </c>
    </row>
    <row r="299" spans="2:13">
      <c r="B299" s="18">
        <v>288</v>
      </c>
      <c r="C299" s="18">
        <v>8055.4684999999999</v>
      </c>
      <c r="D299" s="18">
        <v>3.7808657492236143E-2</v>
      </c>
      <c r="E299" s="18">
        <v>3.7014900979640969E-2</v>
      </c>
      <c r="G299" s="18">
        <v>12362.715</v>
      </c>
      <c r="H299" s="18">
        <v>0.4441582832204396</v>
      </c>
      <c r="I299" s="18">
        <v>0.68505801957012757</v>
      </c>
      <c r="K299" s="18">
        <v>14.398818969726563</v>
      </c>
      <c r="L299" s="18">
        <v>0.69656073051810374</v>
      </c>
      <c r="M299" s="18">
        <v>0.87189512686306692</v>
      </c>
    </row>
    <row r="300" spans="2:13">
      <c r="B300" s="18">
        <v>289</v>
      </c>
      <c r="C300" s="18">
        <v>8057.5020000000004</v>
      </c>
      <c r="D300" s="18">
        <v>3.7800494431740758E-2</v>
      </c>
      <c r="E300" s="18">
        <v>3.6788685435744845E-2</v>
      </c>
      <c r="G300" s="18">
        <v>12374.013000000001</v>
      </c>
      <c r="H300" s="18">
        <v>0.44361616714986951</v>
      </c>
      <c r="I300" s="18">
        <v>0.68127745182255828</v>
      </c>
      <c r="K300" s="18">
        <v>14.430496215820313</v>
      </c>
      <c r="L300" s="18">
        <v>0.69642273647487807</v>
      </c>
      <c r="M300" s="18">
        <v>0.86823606047500534</v>
      </c>
    </row>
    <row r="301" spans="2:13">
      <c r="B301" s="18">
        <v>290</v>
      </c>
      <c r="C301" s="18">
        <v>8060.13</v>
      </c>
      <c r="D301" s="18">
        <v>3.7662500388515111E-2</v>
      </c>
      <c r="E301" s="18">
        <v>3.6497832506398736E-2</v>
      </c>
      <c r="G301" s="18">
        <v>12380.664000000001</v>
      </c>
      <c r="H301" s="18">
        <v>0.44360800408937412</v>
      </c>
      <c r="I301" s="18">
        <v>0.67903768063149106</v>
      </c>
      <c r="K301" s="18">
        <v>14.440387725830078</v>
      </c>
      <c r="L301" s="18">
        <v>0.69588062040430798</v>
      </c>
      <c r="M301" s="18">
        <v>0.86707526334792062</v>
      </c>
    </row>
    <row r="302" spans="2:13">
      <c r="B302" s="18">
        <v>291</v>
      </c>
      <c r="C302" s="18">
        <v>8066.643</v>
      </c>
      <c r="D302" s="18">
        <v>3.7120384317945031E-2</v>
      </c>
      <c r="E302" s="18">
        <v>3.5784257291671825E-2</v>
      </c>
      <c r="G302" s="18">
        <v>12385.584999999999</v>
      </c>
      <c r="H302" s="18">
        <v>0.44306588801880403</v>
      </c>
      <c r="I302" s="18">
        <v>0.67737374199357336</v>
      </c>
      <c r="K302" s="18">
        <v>14.447521209716797</v>
      </c>
      <c r="L302" s="18">
        <v>0.69574262636108231</v>
      </c>
      <c r="M302" s="18">
        <v>0.8662326999885821</v>
      </c>
    </row>
    <row r="303" spans="2:13">
      <c r="B303" s="18">
        <v>292</v>
      </c>
      <c r="C303" s="18">
        <v>8071.6880000000001</v>
      </c>
      <c r="D303" s="18">
        <v>3.7075853430142143E-2</v>
      </c>
      <c r="E303" s="18">
        <v>3.5238582238915642E-2</v>
      </c>
      <c r="G303" s="18">
        <v>12390.43</v>
      </c>
      <c r="H303" s="18">
        <v>0.44252377194823395</v>
      </c>
      <c r="I303" s="18">
        <v>0.6757298957737834</v>
      </c>
      <c r="K303" s="18">
        <v>14.459376335144043</v>
      </c>
      <c r="L303" s="18">
        <v>0.69520051029051222</v>
      </c>
      <c r="M303" s="18">
        <v>0.86482233162044753</v>
      </c>
    </row>
    <row r="304" spans="2:13">
      <c r="B304" s="18">
        <v>293</v>
      </c>
      <c r="C304" s="18">
        <v>8072.3924999999999</v>
      </c>
      <c r="D304" s="18">
        <v>3.7031322542339255E-2</v>
      </c>
      <c r="E304" s="18">
        <v>3.5162870930103451E-2</v>
      </c>
      <c r="G304" s="18">
        <v>12398.004999999999</v>
      </c>
      <c r="H304" s="18">
        <v>0.44238577790500827</v>
      </c>
      <c r="I304" s="18">
        <v>0.67314866995653211</v>
      </c>
      <c r="K304" s="18">
        <v>14.472825050354004</v>
      </c>
      <c r="L304" s="18">
        <v>0.69465839421994213</v>
      </c>
      <c r="M304" s="18">
        <v>0.86320700249692617</v>
      </c>
    </row>
    <row r="305" spans="2:13">
      <c r="B305" s="18">
        <v>294</v>
      </c>
      <c r="C305" s="18">
        <v>8079.2735000000002</v>
      </c>
      <c r="D305" s="18">
        <v>3.6489206471769176E-2</v>
      </c>
      <c r="E305" s="18">
        <v>3.4429648611284398E-2</v>
      </c>
      <c r="G305" s="18">
        <v>12418.16</v>
      </c>
      <c r="H305" s="18">
        <v>0.4422477838617826</v>
      </c>
      <c r="I305" s="18">
        <v>0.66621488250535366</v>
      </c>
      <c r="K305" s="18">
        <v>14.481236457824707</v>
      </c>
      <c r="L305" s="18">
        <v>0.69452040017671646</v>
      </c>
      <c r="M305" s="18">
        <v>0.86218834881216966</v>
      </c>
    </row>
    <row r="306" spans="2:13">
      <c r="B306" s="18">
        <v>295</v>
      </c>
      <c r="C306" s="18">
        <v>8082.1424999999999</v>
      </c>
      <c r="D306" s="18">
        <v>3.6481043411273791E-2</v>
      </c>
      <c r="E306" s="18">
        <v>3.41272801884712E-2</v>
      </c>
      <c r="G306" s="18">
        <v>12423.031999999999</v>
      </c>
      <c r="H306" s="18">
        <v>0.44210978981855692</v>
      </c>
      <c r="I306" s="18">
        <v>0.66452449115726842</v>
      </c>
      <c r="K306" s="18">
        <v>14.482855796813965</v>
      </c>
      <c r="L306" s="18">
        <v>0.69438240613349078</v>
      </c>
      <c r="M306" s="18">
        <v>0.86199149939695718</v>
      </c>
    </row>
    <row r="307" spans="2:13">
      <c r="B307" s="18">
        <v>296</v>
      </c>
      <c r="C307" s="18">
        <v>8084.9454999999998</v>
      </c>
      <c r="D307" s="18">
        <v>3.6436512523470903E-2</v>
      </c>
      <c r="E307" s="18">
        <v>3.3833759950390729E-2</v>
      </c>
      <c r="G307" s="18">
        <v>12427.741</v>
      </c>
      <c r="H307" s="18">
        <v>0.44210162675806153</v>
      </c>
      <c r="I307" s="18">
        <v>0.66288537958838778</v>
      </c>
      <c r="K307" s="18">
        <v>14.495588302612305</v>
      </c>
      <c r="L307" s="18">
        <v>0.69384029006292069</v>
      </c>
      <c r="M307" s="18">
        <v>0.86043534396575017</v>
      </c>
    </row>
    <row r="308" spans="2:13">
      <c r="B308" s="18">
        <v>297</v>
      </c>
      <c r="C308" s="18">
        <v>8088.2809999999999</v>
      </c>
      <c r="D308" s="18">
        <v>3.6298518480245255E-2</v>
      </c>
      <c r="E308" s="18">
        <v>3.3486906972307696E-2</v>
      </c>
      <c r="G308" s="18">
        <v>12429.627</v>
      </c>
      <c r="H308" s="18">
        <v>0.44155951068749144</v>
      </c>
      <c r="I308" s="18">
        <v>0.6622274476578518</v>
      </c>
      <c r="K308" s="18">
        <v>14.521425247192383</v>
      </c>
      <c r="L308" s="18">
        <v>0.69329817399235061</v>
      </c>
      <c r="M308" s="18">
        <v>0.85723160687350475</v>
      </c>
    </row>
    <row r="309" spans="2:13">
      <c r="B309" s="18">
        <v>298</v>
      </c>
      <c r="C309" s="18">
        <v>8090.9080000000004</v>
      </c>
      <c r="D309" s="18">
        <v>3.5091175448574263E-2</v>
      </c>
      <c r="E309" s="18">
        <v>3.3215581550845384E-2</v>
      </c>
      <c r="G309" s="18">
        <v>12432.407999999999</v>
      </c>
      <c r="H309" s="18">
        <v>0.44101739461692135</v>
      </c>
      <c r="I309" s="18">
        <v>0.66125578154242104</v>
      </c>
      <c r="K309" s="18">
        <v>14.540904998779297</v>
      </c>
      <c r="L309" s="18">
        <v>0.69316017994912493</v>
      </c>
      <c r="M309" s="18">
        <v>0.85477502867110267</v>
      </c>
    </row>
    <row r="310" spans="2:13">
      <c r="B310" s="18">
        <v>299</v>
      </c>
      <c r="C310" s="18">
        <v>8091.2044999999998</v>
      </c>
      <c r="D310" s="18">
        <v>3.4953181405348616E-2</v>
      </c>
      <c r="E310" s="18">
        <v>3.3185060266614691E-2</v>
      </c>
      <c r="G310" s="18">
        <v>12433.504000000001</v>
      </c>
      <c r="H310" s="18">
        <v>0.44097286372911848</v>
      </c>
      <c r="I310" s="18">
        <v>0.66087235021686741</v>
      </c>
      <c r="K310" s="18">
        <v>14.545557975769043</v>
      </c>
      <c r="L310" s="18">
        <v>0.69302218590589926</v>
      </c>
      <c r="M310" s="18">
        <v>0.85418297033068902</v>
      </c>
    </row>
    <row r="311" spans="2:13">
      <c r="B311" s="18">
        <v>300</v>
      </c>
      <c r="C311" s="18">
        <v>8092.3924999999999</v>
      </c>
      <c r="D311" s="18">
        <v>3.4908650517545728E-2</v>
      </c>
      <c r="E311" s="18">
        <v>3.3062976928210933E-2</v>
      </c>
      <c r="G311" s="18">
        <v>12434.628000000001</v>
      </c>
      <c r="H311" s="18">
        <v>0.44083486968589281</v>
      </c>
      <c r="I311" s="18">
        <v>0.66047883275836761</v>
      </c>
      <c r="K311" s="18">
        <v>14.545918464660645</v>
      </c>
      <c r="L311" s="18">
        <v>0.69288419186267358</v>
      </c>
      <c r="M311" s="18">
        <v>0.85413701543587783</v>
      </c>
    </row>
    <row r="312" spans="2:13">
      <c r="B312" s="18">
        <v>301</v>
      </c>
      <c r="C312" s="18">
        <v>8093.2690000000002</v>
      </c>
      <c r="D312" s="18">
        <v>3.486411962974284E-2</v>
      </c>
      <c r="E312" s="18">
        <v>3.297311739118735E-2</v>
      </c>
      <c r="G312" s="18">
        <v>12444.278</v>
      </c>
      <c r="H312" s="18">
        <v>0.44029275361532272</v>
      </c>
      <c r="I312" s="18">
        <v>0.65708824393974907</v>
      </c>
      <c r="K312" s="18">
        <v>14.548342704772949</v>
      </c>
      <c r="L312" s="18">
        <v>0.6923420757921035</v>
      </c>
      <c r="M312" s="18">
        <v>0.85382765606362565</v>
      </c>
    </row>
    <row r="313" spans="2:13">
      <c r="B313" s="18">
        <v>302</v>
      </c>
      <c r="C313" s="18">
        <v>8094.0334999999995</v>
      </c>
      <c r="D313" s="18">
        <v>3.432200355917276E-2</v>
      </c>
      <c r="E313" s="18">
        <v>3.2894887627128597E-2</v>
      </c>
      <c r="G313" s="18">
        <v>12463.029</v>
      </c>
      <c r="H313" s="18">
        <v>0.43975063754475263</v>
      </c>
      <c r="I313" s="18">
        <v>0.65043836722517545</v>
      </c>
      <c r="K313" s="18">
        <v>14.579719543457031</v>
      </c>
      <c r="L313" s="18">
        <v>0.69179995972153341</v>
      </c>
      <c r="M313" s="18">
        <v>0.84977326907552686</v>
      </c>
    </row>
    <row r="314" spans="2:13">
      <c r="B314" s="18">
        <v>303</v>
      </c>
      <c r="C314" s="18">
        <v>8097.8215</v>
      </c>
      <c r="D314" s="18">
        <v>3.4184009515947113E-2</v>
      </c>
      <c r="E314" s="18">
        <v>3.2509291502191319E-2</v>
      </c>
      <c r="G314" s="18">
        <v>12466.427</v>
      </c>
      <c r="H314" s="18">
        <v>0.43974247448425724</v>
      </c>
      <c r="I314" s="18">
        <v>0.64922463717733314</v>
      </c>
      <c r="K314" s="18">
        <v>14.654423713684082</v>
      </c>
      <c r="L314" s="18">
        <v>0.69125784365096332</v>
      </c>
      <c r="M314" s="18">
        <v>0.83973740900142912</v>
      </c>
    </row>
    <row r="315" spans="2:13">
      <c r="B315" s="18">
        <v>304</v>
      </c>
      <c r="C315" s="18">
        <v>8107.5320000000002</v>
      </c>
      <c r="D315" s="18">
        <v>3.3641893445377033E-2</v>
      </c>
      <c r="E315" s="18">
        <v>3.153610597692063E-2</v>
      </c>
      <c r="G315" s="18">
        <v>12466.87</v>
      </c>
      <c r="H315" s="18">
        <v>0.43960448044103156</v>
      </c>
      <c r="I315" s="18">
        <v>0.64906620720243002</v>
      </c>
      <c r="K315" s="18">
        <v>14.664799690246582</v>
      </c>
      <c r="L315" s="18">
        <v>0.69071572758039324</v>
      </c>
      <c r="M315" s="18">
        <v>0.83830005466601587</v>
      </c>
    </row>
    <row r="316" spans="2:13">
      <c r="B316" s="18">
        <v>305</v>
      </c>
      <c r="C316" s="18">
        <v>8110.0055000000002</v>
      </c>
      <c r="D316" s="18">
        <v>3.3503899402151385E-2</v>
      </c>
      <c r="E316" s="18">
        <v>3.1291704409966765E-2</v>
      </c>
      <c r="G316" s="18">
        <v>12472.198</v>
      </c>
      <c r="H316" s="18">
        <v>0.43955994955322869</v>
      </c>
      <c r="I316" s="18">
        <v>0.64715723786927215</v>
      </c>
      <c r="K316" s="18">
        <v>14.67646312713623</v>
      </c>
      <c r="L316" s="18">
        <v>0.69017361150982315</v>
      </c>
      <c r="M316" s="18">
        <v>0.83667151990453359</v>
      </c>
    </row>
    <row r="317" spans="2:13">
      <c r="B317" s="18">
        <v>306</v>
      </c>
      <c r="C317" s="18">
        <v>8113.4250000000002</v>
      </c>
      <c r="D317" s="18">
        <v>3.2296556370480393E-2</v>
      </c>
      <c r="E317" s="18">
        <v>3.0956151068776524E-2</v>
      </c>
      <c r="G317" s="18">
        <v>12477.911</v>
      </c>
      <c r="H317" s="18">
        <v>0.43942195551000302</v>
      </c>
      <c r="I317" s="18">
        <v>0.6451031250427266</v>
      </c>
      <c r="K317" s="18">
        <v>14.677615165710449</v>
      </c>
      <c r="L317" s="18">
        <v>0.68963149543925306</v>
      </c>
      <c r="M317" s="18">
        <v>0.83650992427223658</v>
      </c>
    </row>
    <row r="318" spans="2:13">
      <c r="B318" s="18">
        <v>307</v>
      </c>
      <c r="C318" s="18">
        <v>8115.2455</v>
      </c>
      <c r="D318" s="18">
        <v>3.2158562327254746E-2</v>
      </c>
      <c r="E318" s="18">
        <v>3.0778601686126009E-2</v>
      </c>
      <c r="G318" s="18">
        <v>12489.96</v>
      </c>
      <c r="H318" s="18">
        <v>0.43928396146677734</v>
      </c>
      <c r="I318" s="18">
        <v>0.64074657181603489</v>
      </c>
      <c r="K318" s="18">
        <v>14.704850196838379</v>
      </c>
      <c r="L318" s="18">
        <v>0.67291278899874107</v>
      </c>
      <c r="M318" s="18">
        <v>0.83265073250827326</v>
      </c>
    </row>
    <row r="319" spans="2:13">
      <c r="B319" s="18">
        <v>308</v>
      </c>
      <c r="C319" s="18">
        <v>8115.5410000000002</v>
      </c>
      <c r="D319" s="18">
        <v>3.2114031439451858E-2</v>
      </c>
      <c r="E319" s="18">
        <v>3.0749853836599193E-2</v>
      </c>
      <c r="G319" s="18">
        <v>12504.101000000001</v>
      </c>
      <c r="H319" s="18">
        <v>0.43914596742355166</v>
      </c>
      <c r="I319" s="18">
        <v>0.63559178568149477</v>
      </c>
      <c r="K319" s="18">
        <v>14.706531524658203</v>
      </c>
      <c r="L319" s="18">
        <v>0.67237067292817099</v>
      </c>
      <c r="M319" s="18">
        <v>0.83241002888624627</v>
      </c>
    </row>
    <row r="320" spans="2:13">
      <c r="B320" s="18">
        <v>309</v>
      </c>
      <c r="C320" s="18">
        <v>8117.1030000000001</v>
      </c>
      <c r="D320" s="18">
        <v>3.0906688407780866E-2</v>
      </c>
      <c r="E320" s="18">
        <v>3.0598225794476575E-2</v>
      </c>
      <c r="G320" s="18">
        <v>12508.331</v>
      </c>
      <c r="H320" s="18">
        <v>0.43910143653574879</v>
      </c>
      <c r="I320" s="18">
        <v>0.63404111320213086</v>
      </c>
      <c r="K320" s="18">
        <v>14.735055923461914</v>
      </c>
      <c r="L320" s="18">
        <v>0.655651966487659</v>
      </c>
      <c r="M320" s="18">
        <v>0.82828243902530285</v>
      </c>
    </row>
    <row r="321" spans="2:13">
      <c r="B321" s="18">
        <v>310</v>
      </c>
      <c r="C321" s="18">
        <v>8117.3890000000001</v>
      </c>
      <c r="D321" s="18">
        <v>3.036457233721079E-2</v>
      </c>
      <c r="E321" s="18">
        <v>3.0570523306360252E-2</v>
      </c>
      <c r="G321" s="18">
        <v>12509.498</v>
      </c>
      <c r="H321" s="18">
        <v>0.43905690564794592</v>
      </c>
      <c r="I321" s="18">
        <v>0.63361259983686902</v>
      </c>
      <c r="K321" s="18">
        <v>14.755152702331543</v>
      </c>
      <c r="L321" s="18">
        <v>0.63893326004714701</v>
      </c>
      <c r="M321" s="18">
        <v>0.8253241574287179</v>
      </c>
    </row>
    <row r="322" spans="2:13">
      <c r="B322" s="18">
        <v>311</v>
      </c>
      <c r="C322" s="18">
        <v>8118.8275000000003</v>
      </c>
      <c r="D322" s="18">
        <v>3.0320041449407902E-2</v>
      </c>
      <c r="E322" s="18">
        <v>3.0431470615512993E-2</v>
      </c>
      <c r="G322" s="18">
        <v>12520.357</v>
      </c>
      <c r="H322" s="18">
        <v>0.43851478957737583</v>
      </c>
      <c r="I322" s="18">
        <v>0.62961072255076345</v>
      </c>
      <c r="K322" s="18">
        <v>14.755260467529297</v>
      </c>
      <c r="L322" s="18">
        <v>0.62221455360663502</v>
      </c>
      <c r="M322" s="18">
        <v>0.82530818158843733</v>
      </c>
    </row>
    <row r="323" spans="2:13">
      <c r="B323" s="18">
        <v>312</v>
      </c>
      <c r="C323" s="18">
        <v>8120.4414999999999</v>
      </c>
      <c r="D323" s="18">
        <v>3.0275510561605014E-2</v>
      </c>
      <c r="E323" s="18">
        <v>3.0276014627743399E-2</v>
      </c>
      <c r="G323" s="18">
        <v>12532.154</v>
      </c>
      <c r="H323" s="18">
        <v>0.43730744654570486</v>
      </c>
      <c r="I323" s="18">
        <v>0.62523358117739702</v>
      </c>
      <c r="K323" s="18">
        <v>14.79188060760498</v>
      </c>
      <c r="L323" s="18">
        <v>0.62167243753606494</v>
      </c>
      <c r="M323" s="18">
        <v>0.81980927212711929</v>
      </c>
    </row>
    <row r="324" spans="2:13">
      <c r="B324" s="18">
        <v>313</v>
      </c>
      <c r="C324" s="18">
        <v>8127.683</v>
      </c>
      <c r="D324" s="18">
        <v>2.9733394491034938E-2</v>
      </c>
      <c r="E324" s="18">
        <v>2.9585809821494276E-2</v>
      </c>
      <c r="G324" s="18">
        <v>12536.587</v>
      </c>
      <c r="H324" s="18">
        <v>0.43676533047513477</v>
      </c>
      <c r="I324" s="18">
        <v>0.62358085764165816</v>
      </c>
      <c r="K324" s="18">
        <v>14.817777633666992</v>
      </c>
      <c r="L324" s="18">
        <v>0.62113032146549485</v>
      </c>
      <c r="M324" s="18">
        <v>0.81583548813834228</v>
      </c>
    </row>
    <row r="325" spans="2:13">
      <c r="B325" s="18">
        <v>314</v>
      </c>
      <c r="C325" s="18">
        <v>8133.8924999999999</v>
      </c>
      <c r="D325" s="18">
        <v>2.9191278420464862E-2</v>
      </c>
      <c r="E325" s="18">
        <v>2.9003384824564736E-2</v>
      </c>
      <c r="G325" s="18">
        <v>12536.77</v>
      </c>
      <c r="H325" s="18">
        <v>0.43622321440456469</v>
      </c>
      <c r="I325" s="18">
        <v>0.62351253859048361</v>
      </c>
      <c r="K325" s="18">
        <v>14.826322555541992</v>
      </c>
      <c r="L325" s="18">
        <v>0.62058820539492476</v>
      </c>
      <c r="M325" s="18">
        <v>0.81450870381131091</v>
      </c>
    </row>
    <row r="326" spans="2:13">
      <c r="B326" s="18">
        <v>315</v>
      </c>
      <c r="C326" s="18">
        <v>8142.4930000000004</v>
      </c>
      <c r="D326" s="18">
        <v>2.9146747532661974E-2</v>
      </c>
      <c r="E326" s="18">
        <v>2.8210921052586723E-2</v>
      </c>
      <c r="G326" s="18">
        <v>12547.949000000001</v>
      </c>
      <c r="H326" s="18">
        <v>0.43272642377161341</v>
      </c>
      <c r="I326" s="18">
        <v>0.61932525662533122</v>
      </c>
      <c r="K326" s="18">
        <v>14.843902587890625</v>
      </c>
      <c r="L326" s="18">
        <v>0.62004608932435468</v>
      </c>
      <c r="M326" s="18">
        <v>0.81175451469132565</v>
      </c>
    </row>
    <row r="327" spans="2:13">
      <c r="B327" s="18">
        <v>316</v>
      </c>
      <c r="C327" s="18">
        <v>8143.1525000000001</v>
      </c>
      <c r="D327" s="18">
        <v>2.9008753489436327E-2</v>
      </c>
      <c r="E327" s="18">
        <v>2.8150831236553337E-2</v>
      </c>
      <c r="G327" s="18">
        <v>12557.68</v>
      </c>
      <c r="H327" s="18">
        <v>0.43258842972838774</v>
      </c>
      <c r="I327" s="18">
        <v>0.61565829387862758</v>
      </c>
      <c r="K327" s="18">
        <v>14.844147682189941</v>
      </c>
      <c r="L327" s="18">
        <v>0.61950397325378459</v>
      </c>
      <c r="M327" s="18">
        <v>0.8117158829274721</v>
      </c>
    </row>
    <row r="328" spans="2:13">
      <c r="B328" s="18">
        <v>317</v>
      </c>
      <c r="C328" s="18">
        <v>8149.65</v>
      </c>
      <c r="D328" s="18">
        <v>2.846663741886625E-2</v>
      </c>
      <c r="E328" s="18">
        <v>2.7563940612581071E-2</v>
      </c>
      <c r="G328" s="18">
        <v>12558.018</v>
      </c>
      <c r="H328" s="18">
        <v>0.43204631365781765</v>
      </c>
      <c r="I328" s="18">
        <v>0.61553055764064613</v>
      </c>
      <c r="K328" s="18">
        <v>14.844813346862793</v>
      </c>
      <c r="L328" s="18">
        <v>0.6189618571832145</v>
      </c>
      <c r="M328" s="18">
        <v>0.81161092833309467</v>
      </c>
    </row>
    <row r="329" spans="2:13">
      <c r="B329" s="18">
        <v>318</v>
      </c>
      <c r="C329" s="18">
        <v>8154.1944999999996</v>
      </c>
      <c r="D329" s="18">
        <v>2.8422106531063362E-2</v>
      </c>
      <c r="E329" s="18">
        <v>2.7158956403683758E-2</v>
      </c>
      <c r="G329" s="18">
        <v>12574.141</v>
      </c>
      <c r="H329" s="18">
        <v>0.43200178277001478</v>
      </c>
      <c r="I329" s="18">
        <v>0.60940901575676465</v>
      </c>
      <c r="K329" s="18">
        <v>14.90273380279541</v>
      </c>
      <c r="L329" s="18">
        <v>0.60224315074270252</v>
      </c>
      <c r="M329" s="18">
        <v>0.80229535296244325</v>
      </c>
    </row>
    <row r="330" spans="2:13">
      <c r="B330" s="18">
        <v>319</v>
      </c>
      <c r="C330" s="18">
        <v>8156.42</v>
      </c>
      <c r="D330" s="18">
        <v>2.8284112487837715E-2</v>
      </c>
      <c r="E330" s="18">
        <v>2.6962272179948732E-2</v>
      </c>
      <c r="G330" s="18">
        <v>12576.591</v>
      </c>
      <c r="H330" s="18">
        <v>0.4318637887267891</v>
      </c>
      <c r="I330" s="18">
        <v>0.60847396923965147</v>
      </c>
      <c r="K330" s="18">
        <v>14.913819313049316</v>
      </c>
      <c r="L330" s="18">
        <v>0.60170103467213243</v>
      </c>
      <c r="M330" s="18">
        <v>0.80047077018739199</v>
      </c>
    </row>
    <row r="331" spans="2:13">
      <c r="B331" s="18">
        <v>320</v>
      </c>
      <c r="C331" s="18">
        <v>8158.3474999999999</v>
      </c>
      <c r="D331" s="18">
        <v>2.8146118444612067E-2</v>
      </c>
      <c r="E331" s="18">
        <v>2.6792793302956173E-2</v>
      </c>
      <c r="G331" s="18">
        <v>12586.362999999999</v>
      </c>
      <c r="H331" s="18">
        <v>0.43132167265621901</v>
      </c>
      <c r="I331" s="18">
        <v>0.60473188900114128</v>
      </c>
      <c r="K331" s="18">
        <v>14.946480751037598</v>
      </c>
      <c r="L331" s="18">
        <v>0.58498232823162044</v>
      </c>
      <c r="M331" s="18">
        <v>0.79501629226083759</v>
      </c>
    </row>
    <row r="332" spans="2:13">
      <c r="B332" s="18">
        <v>321</v>
      </c>
      <c r="C332" s="18">
        <v>8163.1764999999996</v>
      </c>
      <c r="D332" s="18">
        <v>2.7604002374041991E-2</v>
      </c>
      <c r="E332" s="18">
        <v>2.6371721710582652E-2</v>
      </c>
      <c r="G332" s="18">
        <v>12588.785</v>
      </c>
      <c r="H332" s="18">
        <v>0.43011432962454804</v>
      </c>
      <c r="I332" s="18">
        <v>0.60380131468150966</v>
      </c>
      <c r="K332" s="18">
        <v>15.011262893676758</v>
      </c>
      <c r="L332" s="18">
        <v>0.58444021216105035</v>
      </c>
      <c r="M332" s="18">
        <v>0.78384618940365014</v>
      </c>
    </row>
    <row r="333" spans="2:13">
      <c r="B333" s="18">
        <v>322</v>
      </c>
      <c r="C333" s="18">
        <v>8166.2494999999999</v>
      </c>
      <c r="D333" s="18">
        <v>2.7559471486239103E-2</v>
      </c>
      <c r="E333" s="18">
        <v>2.610638013205524E-2</v>
      </c>
      <c r="G333" s="18">
        <v>12597.227999999999</v>
      </c>
      <c r="H333" s="18">
        <v>0.42957221355397796</v>
      </c>
      <c r="I333" s="18">
        <v>0.60054781856815598</v>
      </c>
      <c r="K333" s="18">
        <v>15.014269828796387</v>
      </c>
      <c r="L333" s="18">
        <v>0.58389809609048027</v>
      </c>
      <c r="M333" s="18">
        <v>0.78331625823496931</v>
      </c>
    </row>
    <row r="334" spans="2:13">
      <c r="B334" s="18">
        <v>323</v>
      </c>
      <c r="C334" s="18">
        <v>8167.6205</v>
      </c>
      <c r="D334" s="18">
        <v>2.7514940598436215E-2</v>
      </c>
      <c r="E334" s="18">
        <v>2.5988652459880187E-2</v>
      </c>
      <c r="G334" s="18">
        <v>12597.404</v>
      </c>
      <c r="H334" s="18">
        <v>0.42943421951075228</v>
      </c>
      <c r="I334" s="18">
        <v>0.60047983994814125</v>
      </c>
      <c r="K334" s="18">
        <v>15.036250114440918</v>
      </c>
      <c r="L334" s="18">
        <v>0.58335598001991018</v>
      </c>
      <c r="M334" s="18">
        <v>0.77941140980697454</v>
      </c>
    </row>
    <row r="335" spans="2:13">
      <c r="B335" s="18">
        <v>324</v>
      </c>
      <c r="C335" s="18">
        <v>8170.0254999999997</v>
      </c>
      <c r="D335" s="18">
        <v>2.6972824527866139E-2</v>
      </c>
      <c r="E335" s="18">
        <v>2.5783105252419357E-2</v>
      </c>
      <c r="G335" s="18">
        <v>12610.069</v>
      </c>
      <c r="H335" s="18">
        <v>0.42889210344018219</v>
      </c>
      <c r="I335" s="18">
        <v>0.59557134500270359</v>
      </c>
      <c r="K335" s="18">
        <v>15.088603019714355</v>
      </c>
      <c r="L335" s="18">
        <v>0.58281386394934009</v>
      </c>
      <c r="M335" s="18">
        <v>0.76988885478397107</v>
      </c>
    </row>
    <row r="336" spans="2:13">
      <c r="B336" s="18">
        <v>325</v>
      </c>
      <c r="C336" s="18">
        <v>8170.2595000000001</v>
      </c>
      <c r="D336" s="18">
        <v>2.6964661467370751E-2</v>
      </c>
      <c r="E336" s="18">
        <v>2.5763171899346918E-2</v>
      </c>
      <c r="G336" s="18">
        <v>12629.735000000001</v>
      </c>
      <c r="H336" s="18">
        <v>0.42834998736961211</v>
      </c>
      <c r="I336" s="18">
        <v>0.58788486511957372</v>
      </c>
      <c r="K336" s="18">
        <v>15.172671318054199</v>
      </c>
      <c r="L336" s="18">
        <v>0.56609515750882811</v>
      </c>
      <c r="M336" s="18">
        <v>0.75393579486614493</v>
      </c>
    </row>
    <row r="337" spans="2:13">
      <c r="B337" s="18">
        <v>326</v>
      </c>
      <c r="C337" s="18">
        <v>8172.5915000000005</v>
      </c>
      <c r="D337" s="18">
        <v>2.6956498406875362E-2</v>
      </c>
      <c r="E337" s="18">
        <v>2.5565156315532932E-2</v>
      </c>
      <c r="G337" s="18">
        <v>12632.486000000001</v>
      </c>
      <c r="H337" s="18">
        <v>0.42780787129904202</v>
      </c>
      <c r="I337" s="18">
        <v>0.58680344782170724</v>
      </c>
      <c r="K337" s="18">
        <v>15.182847023010254</v>
      </c>
      <c r="L337" s="18">
        <v>0.56555304143825802</v>
      </c>
      <c r="M337" s="18">
        <v>0.75194896847476533</v>
      </c>
    </row>
    <row r="338" spans="2:13">
      <c r="B338" s="18">
        <v>327</v>
      </c>
      <c r="C338" s="18">
        <v>8173.1925000000001</v>
      </c>
      <c r="D338" s="18">
        <v>2.6414382336305286E-2</v>
      </c>
      <c r="E338" s="18">
        <v>2.5514311207823756E-2</v>
      </c>
      <c r="G338" s="18">
        <v>12644.716</v>
      </c>
      <c r="H338" s="18">
        <v>0.42431108066609075</v>
      </c>
      <c r="I338" s="18">
        <v>0.58197772042847695</v>
      </c>
      <c r="K338" s="18">
        <v>15.204999923706055</v>
      </c>
      <c r="L338" s="18">
        <v>0.56501092536768793</v>
      </c>
      <c r="M338" s="18">
        <v>0.74758159972307847</v>
      </c>
    </row>
    <row r="339" spans="2:13">
      <c r="B339" s="18">
        <v>328</v>
      </c>
      <c r="C339" s="18">
        <v>8173.6379999999999</v>
      </c>
      <c r="D339" s="18">
        <v>2.587226626573521E-2</v>
      </c>
      <c r="E339" s="18">
        <v>2.5476670967101059E-2</v>
      </c>
      <c r="G339" s="18">
        <v>12663.361999999999</v>
      </c>
      <c r="H339" s="18">
        <v>0.42376896459552066</v>
      </c>
      <c r="I339" s="18">
        <v>0.57456425529981792</v>
      </c>
      <c r="K339" s="18">
        <v>15.223983764648438</v>
      </c>
      <c r="L339" s="18">
        <v>0.56446880929711785</v>
      </c>
      <c r="M339" s="18">
        <v>0.74379312779110762</v>
      </c>
    </row>
    <row r="340" spans="2:13">
      <c r="B340" s="18">
        <v>329</v>
      </c>
      <c r="C340" s="18">
        <v>8174.5290000000005</v>
      </c>
      <c r="D340" s="18">
        <v>2.5734272222509562E-2</v>
      </c>
      <c r="E340" s="18">
        <v>2.5401516640217961E-2</v>
      </c>
      <c r="G340" s="18">
        <v>12670.269</v>
      </c>
      <c r="H340" s="18">
        <v>0.42322684852495057</v>
      </c>
      <c r="I340" s="18">
        <v>0.57180119417262842</v>
      </c>
      <c r="K340" s="18">
        <v>15.285244941711426</v>
      </c>
      <c r="L340" s="18">
        <v>0.56392669322654776</v>
      </c>
      <c r="M340" s="18">
        <v>0.73127779003578552</v>
      </c>
    </row>
    <row r="341" spans="2:13">
      <c r="B341" s="18">
        <v>330</v>
      </c>
      <c r="C341" s="18">
        <v>8175.2664999999997</v>
      </c>
      <c r="D341" s="18">
        <v>2.5192156151939486E-2</v>
      </c>
      <c r="E341" s="18">
        <v>2.5339436886222123E-2</v>
      </c>
      <c r="G341" s="18">
        <v>12681.498</v>
      </c>
      <c r="H341" s="18">
        <v>0.42268473245438049</v>
      </c>
      <c r="I341" s="18">
        <v>0.56729000475923663</v>
      </c>
      <c r="K341" s="18">
        <v>15.335382461547852</v>
      </c>
      <c r="L341" s="18">
        <v>0.56338457715597767</v>
      </c>
      <c r="M341" s="18">
        <v>0.72070445668606509</v>
      </c>
    </row>
    <row r="342" spans="2:13">
      <c r="B342" s="18">
        <v>331</v>
      </c>
      <c r="C342" s="18">
        <v>8182.5805</v>
      </c>
      <c r="D342" s="18">
        <v>2.5183993091444097E-2</v>
      </c>
      <c r="E342" s="18">
        <v>2.4729980198350571E-2</v>
      </c>
      <c r="G342" s="18">
        <v>12699.089</v>
      </c>
      <c r="H342" s="18">
        <v>0.4221426163838104</v>
      </c>
      <c r="I342" s="18">
        <v>0.56017606892561189</v>
      </c>
      <c r="K342" s="18">
        <v>15.359257698059082</v>
      </c>
      <c r="L342" s="18">
        <v>0.56284246108540759</v>
      </c>
      <c r="M342" s="18">
        <v>0.7155647026354901</v>
      </c>
    </row>
    <row r="343" spans="2:13">
      <c r="B343" s="18">
        <v>332</v>
      </c>
      <c r="C343" s="18">
        <v>8187.067</v>
      </c>
      <c r="D343" s="18">
        <v>2.5139462203641209E-2</v>
      </c>
      <c r="E343" s="18">
        <v>2.4361677932379339E-2</v>
      </c>
      <c r="G343" s="18">
        <v>12703.974</v>
      </c>
      <c r="H343" s="18">
        <v>0.42160050031324031</v>
      </c>
      <c r="I343" s="18">
        <v>0.55819057288575058</v>
      </c>
      <c r="K343" s="18">
        <v>15.371742248535156</v>
      </c>
      <c r="L343" s="18">
        <v>0.5623003450148375</v>
      </c>
      <c r="M343" s="18">
        <v>0.71285015649701711</v>
      </c>
    </row>
    <row r="344" spans="2:13">
      <c r="B344" s="18">
        <v>333</v>
      </c>
      <c r="C344" s="18">
        <v>8187.8360000000002</v>
      </c>
      <c r="D344" s="18">
        <v>2.5131299143145821E-2</v>
      </c>
      <c r="E344" s="18">
        <v>2.4298970598968822E-2</v>
      </c>
      <c r="G344" s="18">
        <v>12724.106</v>
      </c>
      <c r="H344" s="18">
        <v>0.42105838424267023</v>
      </c>
      <c r="I344" s="18">
        <v>0.54996335621197245</v>
      </c>
      <c r="K344" s="18">
        <v>15.382610321044922</v>
      </c>
      <c r="L344" s="18">
        <v>0.56175822894426741</v>
      </c>
      <c r="M344" s="18">
        <v>0.7104720319498079</v>
      </c>
    </row>
    <row r="345" spans="2:13">
      <c r="B345" s="18">
        <v>334</v>
      </c>
      <c r="C345" s="18">
        <v>8190.4229999999998</v>
      </c>
      <c r="D345" s="18">
        <v>2.4993305099920173E-2</v>
      </c>
      <c r="E345" s="18">
        <v>2.4088916843811377E-2</v>
      </c>
      <c r="G345" s="18">
        <v>12742.337</v>
      </c>
      <c r="H345" s="18">
        <v>0.42105022118217483</v>
      </c>
      <c r="I345" s="18">
        <v>0.54245265698717771</v>
      </c>
      <c r="K345" s="18">
        <v>15.422443389892578</v>
      </c>
      <c r="L345" s="18">
        <v>0.56121611287369733</v>
      </c>
      <c r="M345" s="18">
        <v>0.7016361555897479</v>
      </c>
    </row>
    <row r="346" spans="2:13">
      <c r="B346" s="18">
        <v>335</v>
      </c>
      <c r="C346" s="18">
        <v>8193.3240000000005</v>
      </c>
      <c r="D346" s="18">
        <v>2.4855311056694526E-2</v>
      </c>
      <c r="E346" s="18">
        <v>2.3855013960332277E-2</v>
      </c>
      <c r="G346" s="18">
        <v>12744.731</v>
      </c>
      <c r="H346" s="18">
        <v>0.42100569029437196</v>
      </c>
      <c r="I346" s="18">
        <v>0.54146224030076084</v>
      </c>
      <c r="K346" s="18">
        <v>15.437429428100586</v>
      </c>
      <c r="L346" s="18">
        <v>0.56067399680312724</v>
      </c>
      <c r="M346" s="18">
        <v>0.69826327600349125</v>
      </c>
    </row>
    <row r="347" spans="2:13">
      <c r="B347" s="18">
        <v>336</v>
      </c>
      <c r="C347" s="18">
        <v>8193.7919999999995</v>
      </c>
      <c r="D347" s="18">
        <v>2.4847147996199137E-2</v>
      </c>
      <c r="E347" s="18">
        <v>2.3817442457956702E-2</v>
      </c>
      <c r="G347" s="18">
        <v>12748.821</v>
      </c>
      <c r="H347" s="18">
        <v>0.42046357422380187</v>
      </c>
      <c r="I347" s="18">
        <v>0.53976798256185976</v>
      </c>
      <c r="K347" s="18">
        <v>15.454901695251465</v>
      </c>
      <c r="L347" s="18">
        <v>0.56013188073255715</v>
      </c>
      <c r="M347" s="18">
        <v>0.6942973099629971</v>
      </c>
    </row>
    <row r="348" spans="2:13">
      <c r="B348" s="18">
        <v>337</v>
      </c>
      <c r="C348" s="18">
        <v>8195.9680000000008</v>
      </c>
      <c r="D348" s="18">
        <v>2.4305031925629061E-2</v>
      </c>
      <c r="E348" s="18">
        <v>2.3643342633269712E-2</v>
      </c>
      <c r="G348" s="18">
        <v>12782.067999999999</v>
      </c>
      <c r="H348" s="18">
        <v>0.4169667835908506</v>
      </c>
      <c r="I348" s="18">
        <v>0.52589586383891773</v>
      </c>
      <c r="K348" s="18">
        <v>15.48316478729248</v>
      </c>
      <c r="L348" s="18">
        <v>0.55958976466198707</v>
      </c>
      <c r="M348" s="18">
        <v>0.68780574018683038</v>
      </c>
    </row>
    <row r="349" spans="2:13">
      <c r="B349" s="18">
        <v>338</v>
      </c>
      <c r="C349" s="18">
        <v>8200.8739999999998</v>
      </c>
      <c r="D349" s="18">
        <v>2.4167037882403413E-2</v>
      </c>
      <c r="E349" s="18">
        <v>2.3254377286690931E-2</v>
      </c>
      <c r="G349" s="18">
        <v>12791.697</v>
      </c>
      <c r="H349" s="18">
        <v>0.41682878954762492</v>
      </c>
      <c r="I349" s="18">
        <v>0.52184620872741916</v>
      </c>
      <c r="K349" s="18">
        <v>15.506329536437988</v>
      </c>
      <c r="L349" s="18">
        <v>0.55904764859141698</v>
      </c>
      <c r="M349" s="18">
        <v>0.68241512002198523</v>
      </c>
    </row>
    <row r="350" spans="2:13">
      <c r="B350" s="18">
        <v>339</v>
      </c>
      <c r="C350" s="18">
        <v>8202.2664999999997</v>
      </c>
      <c r="D350" s="18">
        <v>2.4158874821908025E-2</v>
      </c>
      <c r="E350" s="18">
        <v>2.3144869590450406E-2</v>
      </c>
      <c r="G350" s="18">
        <v>12794.602000000001</v>
      </c>
      <c r="H350" s="18">
        <v>0.41562144651595395</v>
      </c>
      <c r="I350" s="18">
        <v>0.52062173691717117</v>
      </c>
      <c r="K350" s="18">
        <v>15.602725028991699</v>
      </c>
      <c r="L350" s="18">
        <v>0.55850553252084689</v>
      </c>
      <c r="M350" s="18">
        <v>0.65931122304165168</v>
      </c>
    </row>
    <row r="351" spans="2:13">
      <c r="B351" s="18">
        <v>340</v>
      </c>
      <c r="C351" s="18">
        <v>8206.5874999999996</v>
      </c>
      <c r="D351" s="18">
        <v>2.4020880778682377E-2</v>
      </c>
      <c r="E351" s="18">
        <v>2.280756661997457E-2</v>
      </c>
      <c r="G351" s="18">
        <v>12805.72</v>
      </c>
      <c r="H351" s="18">
        <v>0.41507933044538387</v>
      </c>
      <c r="I351" s="18">
        <v>0.5159240341315372</v>
      </c>
      <c r="K351" s="18">
        <v>15.606799125671387</v>
      </c>
      <c r="L351" s="18">
        <v>0.55729818948917587</v>
      </c>
      <c r="M351" s="18">
        <v>0.65831110748291788</v>
      </c>
    </row>
    <row r="352" spans="2:13">
      <c r="B352" s="18">
        <v>341</v>
      </c>
      <c r="C352" s="18">
        <v>8207.5244999999995</v>
      </c>
      <c r="D352" s="18">
        <v>2.3478764708112301E-2</v>
      </c>
      <c r="E352" s="18">
        <v>2.2734921407033763E-2</v>
      </c>
      <c r="G352" s="18">
        <v>12805.828</v>
      </c>
      <c r="H352" s="18">
        <v>0.41453721437481378</v>
      </c>
      <c r="I352" s="18">
        <v>0.5158783131254645</v>
      </c>
      <c r="K352" s="18">
        <v>15.615663528442383</v>
      </c>
      <c r="L352" s="18">
        <v>0.55675607341860578</v>
      </c>
      <c r="M352" s="18">
        <v>0.65612850015000967</v>
      </c>
    </row>
    <row r="353" spans="2:13">
      <c r="B353" s="18">
        <v>342</v>
      </c>
      <c r="C353" s="18">
        <v>8208.2975000000006</v>
      </c>
      <c r="D353" s="18">
        <v>2.3340770664886653E-2</v>
      </c>
      <c r="E353" s="18">
        <v>2.2675124314191074E-2</v>
      </c>
      <c r="G353" s="18">
        <v>12811.433000000001</v>
      </c>
      <c r="H353" s="18">
        <v>0.4143992203315881</v>
      </c>
      <c r="I353" s="18">
        <v>0.51350319849341641</v>
      </c>
      <c r="K353" s="18">
        <v>15.619054794311523</v>
      </c>
      <c r="L353" s="18">
        <v>0.55621395734803569</v>
      </c>
      <c r="M353" s="18">
        <v>0.65529112405680878</v>
      </c>
    </row>
    <row r="354" spans="2:13">
      <c r="B354" s="18">
        <v>343</v>
      </c>
      <c r="C354" s="18">
        <v>8210.4660000000003</v>
      </c>
      <c r="D354" s="18">
        <v>2.3296239777083765E-2</v>
      </c>
      <c r="E354" s="18">
        <v>2.2508017129786662E-2</v>
      </c>
      <c r="G354" s="18">
        <v>12815.64</v>
      </c>
      <c r="H354" s="18">
        <v>0.41319187729991713</v>
      </c>
      <c r="I354" s="18">
        <v>0.51171757445664146</v>
      </c>
      <c r="K354" s="18">
        <v>15.639986991882324</v>
      </c>
      <c r="L354" s="18">
        <v>0.55567184127746561</v>
      </c>
      <c r="M354" s="18">
        <v>0.65009354818099752</v>
      </c>
    </row>
    <row r="355" spans="2:13">
      <c r="B355" s="18">
        <v>344</v>
      </c>
      <c r="C355" s="18">
        <v>8214.8690000000006</v>
      </c>
      <c r="D355" s="18">
        <v>2.3251708889280878E-2</v>
      </c>
      <c r="E355" s="18">
        <v>2.2171617284745079E-2</v>
      </c>
      <c r="G355" s="18">
        <v>12824.475</v>
      </c>
      <c r="H355" s="18">
        <v>0.41264976122934705</v>
      </c>
      <c r="I355" s="18">
        <v>0.50795965496912798</v>
      </c>
      <c r="K355" s="18">
        <v>15.718418121337891</v>
      </c>
      <c r="L355" s="18">
        <v>0.53895313483695362</v>
      </c>
      <c r="M355" s="18">
        <v>0.63018080523790443</v>
      </c>
    </row>
    <row r="356" spans="2:13">
      <c r="B356" s="18">
        <v>345</v>
      </c>
      <c r="C356" s="18">
        <v>8217.518</v>
      </c>
      <c r="D356" s="18">
        <v>2.2709592818710801E-2</v>
      </c>
      <c r="E356" s="18">
        <v>2.197109110847028E-2</v>
      </c>
      <c r="G356" s="18">
        <v>12824.483</v>
      </c>
      <c r="H356" s="18">
        <v>0.40915297059639577</v>
      </c>
      <c r="I356" s="18">
        <v>0.50795624737432798</v>
      </c>
      <c r="K356" s="18">
        <v>15.758711814880371</v>
      </c>
      <c r="L356" s="18">
        <v>0.53841101876638353</v>
      </c>
      <c r="M356" s="18">
        <v>0.6196871968542601</v>
      </c>
    </row>
    <row r="357" spans="2:13">
      <c r="B357" s="18">
        <v>346</v>
      </c>
      <c r="C357" s="18">
        <v>8217.8549999999996</v>
      </c>
      <c r="D357" s="18">
        <v>2.2701429758215413E-2</v>
      </c>
      <c r="E357" s="18">
        <v>2.1945680622748008E-2</v>
      </c>
      <c r="G357" s="18">
        <v>12825.847</v>
      </c>
      <c r="H357" s="18">
        <v>0.40861085452582568</v>
      </c>
      <c r="I357" s="18">
        <v>0.50737512577914123</v>
      </c>
      <c r="K357" s="18">
        <v>15.766495704650879</v>
      </c>
      <c r="L357" s="18">
        <v>0.53786890269581344</v>
      </c>
      <c r="M357" s="18">
        <v>0.61763986372614776</v>
      </c>
    </row>
    <row r="358" spans="2:13">
      <c r="B358" s="18">
        <v>347</v>
      </c>
      <c r="C358" s="18">
        <v>8218.1830000000009</v>
      </c>
      <c r="D358" s="18">
        <v>2.2159313687645336E-2</v>
      </c>
      <c r="E358" s="18">
        <v>2.192097039760009E-2</v>
      </c>
      <c r="G358" s="18">
        <v>12829.852999999999</v>
      </c>
      <c r="H358" s="18">
        <v>0.40847286048260001</v>
      </c>
      <c r="I358" s="18">
        <v>0.5056669523258478</v>
      </c>
      <c r="K358" s="18">
        <v>15.788023948669434</v>
      </c>
      <c r="L358" s="18">
        <v>0.53782437180801057</v>
      </c>
      <c r="M358" s="18">
        <v>0.61194386190834971</v>
      </c>
    </row>
    <row r="359" spans="2:13">
      <c r="B359" s="18">
        <v>348</v>
      </c>
      <c r="C359" s="18">
        <v>8219.9475000000002</v>
      </c>
      <c r="D359" s="18">
        <v>2.0951970655974345E-2</v>
      </c>
      <c r="E359" s="18">
        <v>2.1788405819408121E-2</v>
      </c>
      <c r="G359" s="18">
        <v>12830.767</v>
      </c>
      <c r="H359" s="18">
        <v>0.40842832959479713</v>
      </c>
      <c r="I359" s="18">
        <v>0.50527691848548184</v>
      </c>
      <c r="K359" s="18">
        <v>15.805816650390625</v>
      </c>
      <c r="L359" s="18">
        <v>0.52110566536749858</v>
      </c>
      <c r="M359" s="18">
        <v>0.60719931780788094</v>
      </c>
    </row>
    <row r="360" spans="2:13">
      <c r="B360" s="18">
        <v>349</v>
      </c>
      <c r="C360" s="18">
        <v>8221.1049999999996</v>
      </c>
      <c r="D360" s="18">
        <v>2.0907439768171457E-2</v>
      </c>
      <c r="E360" s="18">
        <v>2.1701778956837926E-2</v>
      </c>
      <c r="G360" s="18">
        <v>12834.36</v>
      </c>
      <c r="H360" s="18">
        <v>0.40788621352422705</v>
      </c>
      <c r="I360" s="18">
        <v>0.50374259360059426</v>
      </c>
      <c r="K360" s="18">
        <v>15.810877799987793</v>
      </c>
      <c r="L360" s="18">
        <v>0.50438695892698659</v>
      </c>
      <c r="M360" s="18">
        <v>0.60584368421475676</v>
      </c>
    </row>
    <row r="361" spans="2:13">
      <c r="B361" s="18">
        <v>350</v>
      </c>
      <c r="C361" s="18">
        <v>8221.5069999999996</v>
      </c>
      <c r="D361" s="18">
        <v>2.0769445724945809E-2</v>
      </c>
      <c r="E361" s="18">
        <v>2.1671755341727564E-2</v>
      </c>
      <c r="G361" s="18">
        <v>12835.061</v>
      </c>
      <c r="H361" s="18">
        <v>0.40784168263642417</v>
      </c>
      <c r="I361" s="18">
        <v>0.50344304589130084</v>
      </c>
      <c r="K361" s="18">
        <v>15.810946464538574</v>
      </c>
      <c r="L361" s="18">
        <v>0.50384484285641651</v>
      </c>
      <c r="M361" s="18">
        <v>0.60582527403876363</v>
      </c>
    </row>
    <row r="362" spans="2:13">
      <c r="B362" s="18">
        <v>351</v>
      </c>
      <c r="C362" s="18">
        <v>8224.3700000000008</v>
      </c>
      <c r="D362" s="18">
        <v>2.0724914837142921E-2</v>
      </c>
      <c r="E362" s="18">
        <v>2.1458851461932143E-2</v>
      </c>
      <c r="G362" s="18">
        <v>12877.504999999999</v>
      </c>
      <c r="H362" s="18">
        <v>0.40729956656585409</v>
      </c>
      <c r="I362" s="18">
        <v>0.48519143133629278</v>
      </c>
      <c r="K362" s="18">
        <v>15.849233627319336</v>
      </c>
      <c r="L362" s="18">
        <v>0.50263749982474548</v>
      </c>
      <c r="M362" s="18">
        <v>0.59548422364027587</v>
      </c>
    </row>
    <row r="363" spans="2:13">
      <c r="B363" s="18">
        <v>352</v>
      </c>
      <c r="C363" s="18">
        <v>8226.6384999999991</v>
      </c>
      <c r="D363" s="18">
        <v>1.8467984481906223E-2</v>
      </c>
      <c r="E363" s="18">
        <v>2.1291300558679813E-2</v>
      </c>
      <c r="G363" s="18">
        <v>12888.201999999999</v>
      </c>
      <c r="H363" s="18">
        <v>0.40380277593290281</v>
      </c>
      <c r="I363" s="18">
        <v>0.48055819370026942</v>
      </c>
      <c r="K363" s="18">
        <v>15.855997085571289</v>
      </c>
      <c r="L363" s="18">
        <v>0.48591879338423349</v>
      </c>
      <c r="M363" s="18">
        <v>0.59364195514726614</v>
      </c>
    </row>
    <row r="364" spans="2:13">
      <c r="B364" s="18">
        <v>353</v>
      </c>
      <c r="C364" s="18">
        <v>8228.8310000000001</v>
      </c>
      <c r="D364" s="18">
        <v>1.8423453594103335E-2</v>
      </c>
      <c r="E364" s="18">
        <v>2.1130320185438364E-2</v>
      </c>
      <c r="G364" s="18">
        <v>12898.733</v>
      </c>
      <c r="H364" s="18">
        <v>0.40326065986233273</v>
      </c>
      <c r="I364" s="18">
        <v>0.47598481422989597</v>
      </c>
      <c r="K364" s="18">
        <v>15.875725746154785</v>
      </c>
      <c r="L364" s="18">
        <v>0.48537667731366341</v>
      </c>
      <c r="M364" s="18">
        <v>0.58824197701041303</v>
      </c>
    </row>
    <row r="365" spans="2:13">
      <c r="B365" s="18">
        <v>354</v>
      </c>
      <c r="C365" s="18">
        <v>8234.5275000000001</v>
      </c>
      <c r="D365" s="18">
        <v>1.8378922706300448E-2</v>
      </c>
      <c r="E365" s="18">
        <v>2.0716439259866059E-2</v>
      </c>
      <c r="G365" s="18">
        <v>12904.607</v>
      </c>
      <c r="H365" s="18">
        <v>0.40312266581910705</v>
      </c>
      <c r="I365" s="18">
        <v>0.47342887910907994</v>
      </c>
      <c r="K365" s="18">
        <v>15.875893592834473</v>
      </c>
      <c r="L365" s="18">
        <v>0.48483456124309332</v>
      </c>
      <c r="M365" s="18">
        <v>0.58819586923998313</v>
      </c>
    </row>
    <row r="366" spans="2:13">
      <c r="B366" s="18">
        <v>355</v>
      </c>
      <c r="C366" s="18">
        <v>8236.2564999999995</v>
      </c>
      <c r="D366" s="18">
        <v>1.82409286630748E-2</v>
      </c>
      <c r="E366" s="18">
        <v>2.0592061534276753E-2</v>
      </c>
      <c r="G366" s="18">
        <v>12920.16</v>
      </c>
      <c r="H366" s="18">
        <v>0.39962587518615578</v>
      </c>
      <c r="I366" s="18">
        <v>0.46664494874335227</v>
      </c>
      <c r="K366" s="18">
        <v>15.899559020996094</v>
      </c>
      <c r="L366" s="18">
        <v>0.46811585480258139</v>
      </c>
      <c r="M366" s="18">
        <v>0.5816672280617835</v>
      </c>
    </row>
    <row r="367" spans="2:13">
      <c r="B367" s="18">
        <v>356</v>
      </c>
      <c r="C367" s="18">
        <v>8238.0385000000006</v>
      </c>
      <c r="D367" s="18">
        <v>1.8102934619849152E-2</v>
      </c>
      <c r="E367" s="18">
        <v>2.0464474082701651E-2</v>
      </c>
      <c r="G367" s="18">
        <v>12934.394</v>
      </c>
      <c r="H367" s="18">
        <v>0.39841853215448481</v>
      </c>
      <c r="I367" s="18">
        <v>0.46041669753948167</v>
      </c>
      <c r="K367" s="18">
        <v>15.91607666015625</v>
      </c>
      <c r="L367" s="18">
        <v>0.45139714836206946</v>
      </c>
      <c r="M367" s="18">
        <v>0.57707824234007576</v>
      </c>
    </row>
    <row r="368" spans="2:13">
      <c r="B368" s="18">
        <v>357</v>
      </c>
      <c r="C368" s="18">
        <v>8238.5650000000005</v>
      </c>
      <c r="D368" s="18">
        <v>1.8058403732046265E-2</v>
      </c>
      <c r="E368" s="18">
        <v>2.0426894654917833E-2</v>
      </c>
      <c r="G368" s="18">
        <v>12963.663</v>
      </c>
      <c r="H368" s="18">
        <v>0.39787641608391472</v>
      </c>
      <c r="I368" s="18">
        <v>0.44755696718874105</v>
      </c>
      <c r="K368" s="18">
        <v>15.966521263122559</v>
      </c>
      <c r="L368" s="18">
        <v>0.45018980533039848</v>
      </c>
      <c r="M368" s="18">
        <v>0.56290416444204583</v>
      </c>
    </row>
    <row r="369" spans="2:13">
      <c r="B369" s="18">
        <v>358</v>
      </c>
      <c r="C369" s="18">
        <v>8240.5195000000003</v>
      </c>
      <c r="D369" s="18">
        <v>1.7920409688820617E-2</v>
      </c>
      <c r="E369" s="18">
        <v>2.0287855570749774E-2</v>
      </c>
      <c r="G369" s="18">
        <v>12982.066999999999</v>
      </c>
      <c r="H369" s="18">
        <v>0.39437962545096344</v>
      </c>
      <c r="I369" s="18">
        <v>0.43943923577835653</v>
      </c>
      <c r="K369" s="18">
        <v>16.030097961425781</v>
      </c>
      <c r="L369" s="18">
        <v>0.44898246229872751</v>
      </c>
      <c r="M369" s="18">
        <v>0.54471358326501218</v>
      </c>
    </row>
    <row r="370" spans="2:13">
      <c r="B370" s="18">
        <v>359</v>
      </c>
      <c r="C370" s="18">
        <v>8243.6744999999992</v>
      </c>
      <c r="D370" s="18">
        <v>1.7782415645594969E-2</v>
      </c>
      <c r="E370" s="18">
        <v>2.0064957101807848E-2</v>
      </c>
      <c r="G370" s="18">
        <v>12987.885</v>
      </c>
      <c r="H370" s="18">
        <v>0.39424163140773777</v>
      </c>
      <c r="I370" s="18">
        <v>0.43686857581615229</v>
      </c>
      <c r="K370" s="18">
        <v>16.051530838012695</v>
      </c>
      <c r="L370" s="18">
        <v>0.44777511926705654</v>
      </c>
      <c r="M370" s="18">
        <v>0.53850346252185743</v>
      </c>
    </row>
    <row r="371" spans="2:13">
      <c r="B371" s="18">
        <v>360</v>
      </c>
      <c r="C371" s="18">
        <v>8254.5665000000008</v>
      </c>
      <c r="D371" s="18">
        <v>1.7644421602369322E-2</v>
      </c>
      <c r="E371" s="18">
        <v>1.9309949864994552E-2</v>
      </c>
      <c r="G371" s="18">
        <v>12997.689</v>
      </c>
      <c r="H371" s="18">
        <v>0.39198470105250105</v>
      </c>
      <c r="I371" s="18">
        <v>0.43253237577312864</v>
      </c>
      <c r="K371" s="18">
        <v>16.133171081542969</v>
      </c>
      <c r="L371" s="18">
        <v>0.44656777623538557</v>
      </c>
      <c r="M371" s="18">
        <v>0.51451671362506446</v>
      </c>
    </row>
    <row r="372" spans="2:13">
      <c r="B372" s="18">
        <v>361</v>
      </c>
      <c r="C372" s="18">
        <v>8261.4804999999997</v>
      </c>
      <c r="D372" s="18">
        <v>1.7506427559143674E-2</v>
      </c>
      <c r="E372" s="18">
        <v>1.8842224354786996E-2</v>
      </c>
      <c r="G372" s="18">
        <v>13005.909</v>
      </c>
      <c r="H372" s="18">
        <v>0.38848791041954978</v>
      </c>
      <c r="I372" s="18">
        <v>0.42889288350682819</v>
      </c>
      <c r="K372" s="18">
        <v>16.168838500976563</v>
      </c>
      <c r="L372" s="18">
        <v>0.42984906979487364</v>
      </c>
      <c r="M372" s="18">
        <v>0.50388467537189552</v>
      </c>
    </row>
    <row r="373" spans="2:13">
      <c r="B373" s="18">
        <v>362</v>
      </c>
      <c r="C373" s="18">
        <v>8265.8709999999992</v>
      </c>
      <c r="D373" s="18">
        <v>1.6299084527472682E-2</v>
      </c>
      <c r="E373" s="18">
        <v>1.8549804464372145E-2</v>
      </c>
      <c r="G373" s="18">
        <v>13005.915000000001</v>
      </c>
      <c r="H373" s="18">
        <v>0.38794579434897969</v>
      </c>
      <c r="I373" s="18">
        <v>0.42889022573319008</v>
      </c>
      <c r="K373" s="18">
        <v>16.193584442138672</v>
      </c>
      <c r="L373" s="18">
        <v>0.42864172676320267</v>
      </c>
      <c r="M373" s="18">
        <v>0.49645850447186241</v>
      </c>
    </row>
    <row r="374" spans="2:13">
      <c r="B374" s="18">
        <v>363</v>
      </c>
      <c r="C374" s="18">
        <v>8267.5755000000008</v>
      </c>
      <c r="D374" s="18">
        <v>1.6290921466977294E-2</v>
      </c>
      <c r="E374" s="18">
        <v>1.8437234239391746E-2</v>
      </c>
      <c r="G374" s="18">
        <v>13007.939</v>
      </c>
      <c r="H374" s="18">
        <v>0.38444900371602841</v>
      </c>
      <c r="I374" s="18">
        <v>0.42799357327011123</v>
      </c>
      <c r="K374" s="18">
        <v>16.195344924926758</v>
      </c>
      <c r="L374" s="18">
        <v>0.4274343837315317</v>
      </c>
      <c r="M374" s="18">
        <v>0.49592870800265881</v>
      </c>
    </row>
    <row r="375" spans="2:13">
      <c r="B375" s="18">
        <v>364</v>
      </c>
      <c r="C375" s="18">
        <v>8271.9429999999993</v>
      </c>
      <c r="D375" s="18">
        <v>1.6246390579174406E-2</v>
      </c>
      <c r="E375" s="18">
        <v>1.8151213223493778E-2</v>
      </c>
      <c r="G375" s="18">
        <v>13018.929</v>
      </c>
      <c r="H375" s="18">
        <v>0.38095221308307714</v>
      </c>
      <c r="I375" s="18">
        <v>0.42312169544765388</v>
      </c>
      <c r="K375" s="18">
        <v>16.217296600341797</v>
      </c>
      <c r="L375" s="18">
        <v>0.42689226766096161</v>
      </c>
      <c r="M375" s="18">
        <v>0.48930670598747567</v>
      </c>
    </row>
    <row r="376" spans="2:13">
      <c r="B376" s="18">
        <v>365</v>
      </c>
      <c r="C376" s="18">
        <v>8274.3705000000009</v>
      </c>
      <c r="D376" s="18">
        <v>1.5704274508604329E-2</v>
      </c>
      <c r="E376" s="18">
        <v>1.7993738752882411E-2</v>
      </c>
      <c r="G376" s="18">
        <v>13022.605</v>
      </c>
      <c r="H376" s="18">
        <v>0.37974487005140617</v>
      </c>
      <c r="I376" s="18">
        <v>0.42149100040808896</v>
      </c>
      <c r="K376" s="18">
        <v>16.21989631652832</v>
      </c>
      <c r="L376" s="18">
        <v>0.42568492462929064</v>
      </c>
      <c r="M376" s="18">
        <v>0.48852056048658504</v>
      </c>
    </row>
    <row r="377" spans="2:13">
      <c r="B377" s="18">
        <v>366</v>
      </c>
      <c r="C377" s="18">
        <v>8274.3850000000002</v>
      </c>
      <c r="D377" s="18">
        <v>1.5696111448108941E-2</v>
      </c>
      <c r="E377" s="18">
        <v>1.7992801327564541E-2</v>
      </c>
      <c r="G377" s="18">
        <v>13040.893</v>
      </c>
      <c r="H377" s="18">
        <v>0.3785375270197352</v>
      </c>
      <c r="I377" s="18">
        <v>0.41337124245601514</v>
      </c>
      <c r="K377" s="18">
        <v>16.220111846923828</v>
      </c>
      <c r="L377" s="18">
        <v>0.42447758159761967</v>
      </c>
      <c r="M377" s="18">
        <v>0.48845536705633086</v>
      </c>
    </row>
    <row r="378" spans="2:13">
      <c r="B378" s="18">
        <v>367</v>
      </c>
      <c r="C378" s="18">
        <v>8284.6684999999998</v>
      </c>
      <c r="D378" s="18">
        <v>1.5558117404883292E-2</v>
      </c>
      <c r="E378" s="18">
        <v>1.7337487008422518E-2</v>
      </c>
      <c r="G378" s="18">
        <v>13044.25</v>
      </c>
      <c r="H378" s="18">
        <v>0.37504073638678392</v>
      </c>
      <c r="I378" s="18">
        <v>0.41187964837036523</v>
      </c>
      <c r="K378" s="18">
        <v>16.278247833251953</v>
      </c>
      <c r="L378" s="18">
        <v>0.4232702385659487</v>
      </c>
      <c r="M378" s="18">
        <v>0.47077656296261255</v>
      </c>
    </row>
    <row r="379" spans="2:13">
      <c r="B379" s="18">
        <v>368</v>
      </c>
      <c r="C379" s="18">
        <v>8285.2384999999995</v>
      </c>
      <c r="D379" s="18">
        <v>1.5513586517080406E-2</v>
      </c>
      <c r="E379" s="18">
        <v>1.7301716122523875E-2</v>
      </c>
      <c r="G379" s="18">
        <v>13082.248</v>
      </c>
      <c r="H379" s="18">
        <v>0.37154394575383265</v>
      </c>
      <c r="I379" s="18">
        <v>0.39498145234738713</v>
      </c>
      <c r="K379" s="18">
        <v>16.278940200805664</v>
      </c>
      <c r="L379" s="18">
        <v>0.42272812249537861</v>
      </c>
      <c r="M379" s="18">
        <v>0.47056495489149031</v>
      </c>
    </row>
    <row r="380" spans="2:13">
      <c r="B380" s="18">
        <v>369</v>
      </c>
      <c r="C380" s="18">
        <v>8290.4660000000003</v>
      </c>
      <c r="D380" s="18">
        <v>1.5505423456585017E-2</v>
      </c>
      <c r="E380" s="18">
        <v>1.6976339259642006E-2</v>
      </c>
      <c r="G380" s="18">
        <v>13083.567999999999</v>
      </c>
      <c r="H380" s="18">
        <v>0.37100182968326256</v>
      </c>
      <c r="I380" s="18">
        <v>0.39439416289071222</v>
      </c>
      <c r="K380" s="18">
        <v>16.287277221679688</v>
      </c>
      <c r="L380" s="18">
        <v>0.41923133186242734</v>
      </c>
      <c r="M380" s="18">
        <v>0.46801508628066657</v>
      </c>
    </row>
    <row r="381" spans="2:13">
      <c r="B381" s="18">
        <v>370</v>
      </c>
      <c r="C381" s="18">
        <v>8303.1090000000004</v>
      </c>
      <c r="D381" s="18">
        <v>1.5367429413359368E-2</v>
      </c>
      <c r="E381" s="18">
        <v>1.6209156048214515E-2</v>
      </c>
      <c r="G381" s="18">
        <v>13086.695</v>
      </c>
      <c r="H381" s="18">
        <v>0.36979448665159159</v>
      </c>
      <c r="I381" s="18">
        <v>0.3930028971084516</v>
      </c>
      <c r="K381" s="18">
        <v>16.310007095336914</v>
      </c>
      <c r="L381" s="18">
        <v>0.4025126254219154</v>
      </c>
      <c r="M381" s="18">
        <v>0.4610466624275657</v>
      </c>
    </row>
    <row r="382" spans="2:13">
      <c r="B382" s="18">
        <v>371</v>
      </c>
      <c r="C382" s="18">
        <v>8305.1919999999991</v>
      </c>
      <c r="D382" s="18">
        <v>1.5322898525556482E-2</v>
      </c>
      <c r="E382" s="18">
        <v>1.6085408949182409E-2</v>
      </c>
      <c r="G382" s="18">
        <v>13101.290999999999</v>
      </c>
      <c r="H382" s="18">
        <v>0.36925237058102151</v>
      </c>
      <c r="I382" s="18">
        <v>0.38650910717949422</v>
      </c>
      <c r="K382" s="18">
        <v>16.318098068237305</v>
      </c>
      <c r="L382" s="18">
        <v>0.40130528239024443</v>
      </c>
      <c r="M382" s="18">
        <v>0.45856061112775104</v>
      </c>
    </row>
    <row r="383" spans="2:13">
      <c r="B383" s="18">
        <v>372</v>
      </c>
      <c r="C383" s="18">
        <v>8305.8889999999992</v>
      </c>
      <c r="D383" s="18">
        <v>1.5184904482330832E-2</v>
      </c>
      <c r="E383" s="18">
        <v>1.6044167338682535E-2</v>
      </c>
      <c r="G383" s="18">
        <v>13104.867</v>
      </c>
      <c r="H383" s="18">
        <v>0.36871025451045142</v>
      </c>
      <c r="I383" s="18">
        <v>0.38491834641879619</v>
      </c>
      <c r="K383" s="18">
        <v>16.321182250976563</v>
      </c>
      <c r="L383" s="18">
        <v>0.40076316631967435</v>
      </c>
      <c r="M383" s="18">
        <v>0.4576122233647279</v>
      </c>
    </row>
    <row r="384" spans="2:13">
      <c r="B384" s="18">
        <v>373</v>
      </c>
      <c r="C384" s="18">
        <v>8307.6309999999994</v>
      </c>
      <c r="D384" s="18">
        <v>1.5140373594527946E-2</v>
      </c>
      <c r="E384" s="18">
        <v>1.594145553467969E-2</v>
      </c>
      <c r="G384" s="18">
        <v>13111.343000000001</v>
      </c>
      <c r="H384" s="18">
        <v>0.36521346387750014</v>
      </c>
      <c r="I384" s="18">
        <v>0.38203791393261938</v>
      </c>
      <c r="K384" s="18">
        <v>16.349237442016602</v>
      </c>
      <c r="L384" s="18">
        <v>0.39955582328800338</v>
      </c>
      <c r="M384" s="18">
        <v>0.44896761818315684</v>
      </c>
    </row>
    <row r="385" spans="2:13">
      <c r="B385" s="18">
        <v>374</v>
      </c>
      <c r="C385" s="18">
        <v>8309.5565000000006</v>
      </c>
      <c r="D385" s="18">
        <v>1.4598257523957868E-2</v>
      </c>
      <c r="E385" s="18">
        <v>1.5828525314811524E-2</v>
      </c>
      <c r="G385" s="18">
        <v>13113.223</v>
      </c>
      <c r="H385" s="18">
        <v>0.36295653352226342</v>
      </c>
      <c r="I385" s="18">
        <v>0.38120182661993696</v>
      </c>
      <c r="K385" s="18">
        <v>16.353219985961914</v>
      </c>
      <c r="L385" s="18">
        <v>0.3983484802563324</v>
      </c>
      <c r="M385" s="18">
        <v>0.44773804158166736</v>
      </c>
    </row>
    <row r="386" spans="2:13">
      <c r="B386" s="18">
        <v>375</v>
      </c>
      <c r="C386" s="18">
        <v>8317.5845000000008</v>
      </c>
      <c r="D386" s="18">
        <v>1.3390914492286876E-2</v>
      </c>
      <c r="E386" s="18">
        <v>1.5364437187663756E-2</v>
      </c>
      <c r="G386" s="18">
        <v>13120.531999999999</v>
      </c>
      <c r="H386" s="18">
        <v>0.35945974288931215</v>
      </c>
      <c r="I386" s="18">
        <v>0.37795189428370057</v>
      </c>
      <c r="K386" s="18">
        <v>16.358798980712891</v>
      </c>
      <c r="L386" s="18">
        <v>0.39714113722466143</v>
      </c>
      <c r="M386" s="18">
        <v>0.44601461362768058</v>
      </c>
    </row>
    <row r="387" spans="2:13">
      <c r="B387" s="18">
        <v>376</v>
      </c>
      <c r="C387" s="18">
        <v>8322.8714999999993</v>
      </c>
      <c r="D387" s="18">
        <v>1.3252920449061227E-2</v>
      </c>
      <c r="E387" s="18">
        <v>1.5064695098388165E-2</v>
      </c>
      <c r="G387" s="18">
        <v>13125.857</v>
      </c>
      <c r="H387" s="18">
        <v>0.35720281253407543</v>
      </c>
      <c r="I387" s="18">
        <v>0.3755848262646837</v>
      </c>
      <c r="K387" s="18">
        <v>16.397811889648438</v>
      </c>
      <c r="L387" s="18">
        <v>0.39593379419299046</v>
      </c>
      <c r="M387" s="18">
        <v>0.43393423238747714</v>
      </c>
    </row>
    <row r="388" spans="2:13">
      <c r="B388" s="18">
        <v>377</v>
      </c>
      <c r="C388" s="18">
        <v>8325.1365000000005</v>
      </c>
      <c r="D388" s="18">
        <v>1.3114926405835578E-2</v>
      </c>
      <c r="E388" s="18">
        <v>1.4937700545532281E-2</v>
      </c>
      <c r="G388" s="18">
        <v>13145.491</v>
      </c>
      <c r="H388" s="18">
        <v>0.35370602190112416</v>
      </c>
      <c r="I388" s="18">
        <v>0.3668637638287881</v>
      </c>
      <c r="K388" s="18">
        <v>16.404050827026367</v>
      </c>
      <c r="L388" s="18">
        <v>0.39472645116131949</v>
      </c>
      <c r="M388" s="18">
        <v>0.43199811593039467</v>
      </c>
    </row>
    <row r="389" spans="2:13">
      <c r="B389" s="18">
        <v>378</v>
      </c>
      <c r="C389" s="18">
        <v>8330.7095000000008</v>
      </c>
      <c r="D389" s="18">
        <v>1.25728103352655E-2</v>
      </c>
      <c r="E389" s="18">
        <v>1.4628822569023241E-2</v>
      </c>
      <c r="G389" s="18">
        <v>13147.837</v>
      </c>
      <c r="H389" s="18">
        <v>0.35020923126817288</v>
      </c>
      <c r="I389" s="18">
        <v>0.36582256180576472</v>
      </c>
      <c r="K389" s="18">
        <v>16.438209533691406</v>
      </c>
      <c r="L389" s="18">
        <v>0.39351910812964852</v>
      </c>
      <c r="M389" s="18">
        <v>0.42138052508898055</v>
      </c>
    </row>
    <row r="390" spans="2:13">
      <c r="B390" s="18">
        <v>379</v>
      </c>
      <c r="C390" s="18">
        <v>8334.3824999999997</v>
      </c>
      <c r="D390" s="18">
        <v>1.2528279447462614E-2</v>
      </c>
      <c r="E390" s="18">
        <v>1.4428020980578054E-2</v>
      </c>
      <c r="G390" s="18">
        <v>13164.429</v>
      </c>
      <c r="H390" s="18">
        <v>0.34671244063522161</v>
      </c>
      <c r="I390" s="18">
        <v>0.35846516358331709</v>
      </c>
      <c r="K390" s="18">
        <v>16.441385269165039</v>
      </c>
      <c r="L390" s="18">
        <v>0.39231176509797755</v>
      </c>
      <c r="M390" s="18">
        <v>0.42039209666102867</v>
      </c>
    </row>
    <row r="391" spans="2:13">
      <c r="B391" s="18">
        <v>380</v>
      </c>
      <c r="C391" s="18">
        <v>8343.5419999999995</v>
      </c>
      <c r="D391" s="18">
        <v>1.2390285404236964E-2</v>
      </c>
      <c r="E391" s="18">
        <v>1.3936750602492857E-2</v>
      </c>
      <c r="G391" s="18">
        <v>13172.237999999999</v>
      </c>
      <c r="H391" s="18">
        <v>0.34321565000227033</v>
      </c>
      <c r="I391" s="18">
        <v>0.35500688578104755</v>
      </c>
      <c r="K391" s="18">
        <v>16.450035095214844</v>
      </c>
      <c r="L391" s="18">
        <v>0.39110442206630658</v>
      </c>
      <c r="M391" s="18">
        <v>0.4176989129076415</v>
      </c>
    </row>
    <row r="392" spans="2:13">
      <c r="B392" s="18">
        <v>381</v>
      </c>
      <c r="C392" s="18">
        <v>8346.3860000000004</v>
      </c>
      <c r="D392" s="18">
        <v>1.2252291361011315E-2</v>
      </c>
      <c r="E392" s="18">
        <v>1.3786936651600612E-2</v>
      </c>
      <c r="G392" s="18">
        <v>13182.813</v>
      </c>
      <c r="H392" s="18">
        <v>0.34267353393170025</v>
      </c>
      <c r="I392" s="18">
        <v>0.35032896247105028</v>
      </c>
      <c r="K392" s="18">
        <v>16.450885772705078</v>
      </c>
      <c r="L392" s="18">
        <v>0.38989707903463561</v>
      </c>
      <c r="M392" s="18">
        <v>0.41743397464405896</v>
      </c>
    </row>
    <row r="393" spans="2:13">
      <c r="B393" s="18">
        <v>382</v>
      </c>
      <c r="C393" s="18">
        <v>8349.7075000000004</v>
      </c>
      <c r="D393" s="18">
        <v>1.2207760473208429E-2</v>
      </c>
      <c r="E393" s="18">
        <v>1.3613587070243386E-2</v>
      </c>
      <c r="G393" s="18">
        <v>13184.223</v>
      </c>
      <c r="H393" s="18">
        <v>0.34213141786113016</v>
      </c>
      <c r="I393" s="18">
        <v>0.34970573654819576</v>
      </c>
      <c r="K393" s="18">
        <v>16.455514907836914</v>
      </c>
      <c r="L393" s="18">
        <v>0.38935496296406552</v>
      </c>
      <c r="M393" s="18">
        <v>0.41599203895395481</v>
      </c>
    </row>
    <row r="394" spans="2:13">
      <c r="B394" s="18">
        <v>383</v>
      </c>
      <c r="C394" s="18">
        <v>8356.4495000000006</v>
      </c>
      <c r="D394" s="18">
        <v>1.2069766429982779E-2</v>
      </c>
      <c r="E394" s="18">
        <v>1.3267034962464657E-2</v>
      </c>
      <c r="G394" s="18">
        <v>13188.819</v>
      </c>
      <c r="H394" s="18">
        <v>0.34092407482945919</v>
      </c>
      <c r="I394" s="18">
        <v>0.3476751475314438</v>
      </c>
      <c r="K394" s="18">
        <v>16.502368927001953</v>
      </c>
      <c r="L394" s="18">
        <v>0.38814761993239455</v>
      </c>
      <c r="M394" s="18">
        <v>0.40138071168703993</v>
      </c>
    </row>
    <row r="395" spans="2:13">
      <c r="B395" s="18">
        <v>384</v>
      </c>
      <c r="C395" s="18">
        <v>8357.8155000000006</v>
      </c>
      <c r="D395" s="18">
        <v>1.2025235542179893E-2</v>
      </c>
      <c r="E395" s="18">
        <v>1.3197680685212864E-2</v>
      </c>
      <c r="G395" s="18">
        <v>13190.308999999999</v>
      </c>
      <c r="H395" s="18">
        <v>0.3403819587588891</v>
      </c>
      <c r="I395" s="18">
        <v>0.3470171315640741</v>
      </c>
      <c r="K395" s="18">
        <v>16.507879257202148</v>
      </c>
      <c r="L395" s="18">
        <v>0.38694027690072358</v>
      </c>
      <c r="M395" s="18">
        <v>0.39966088540525369</v>
      </c>
    </row>
    <row r="396" spans="2:13">
      <c r="B396" s="18">
        <v>385</v>
      </c>
      <c r="C396" s="18">
        <v>8361.1144999999997</v>
      </c>
      <c r="D396" s="18">
        <v>1.1980704654377007E-2</v>
      </c>
      <c r="E396" s="18">
        <v>1.3031371490189427E-2</v>
      </c>
      <c r="G396" s="18">
        <v>13200.646000000001</v>
      </c>
      <c r="H396" s="18">
        <v>0.33688516812593783</v>
      </c>
      <c r="I396" s="18">
        <v>0.34245623146503884</v>
      </c>
      <c r="K396" s="18">
        <v>16.514205932617188</v>
      </c>
      <c r="L396" s="18">
        <v>0.3834434862677723</v>
      </c>
      <c r="M396" s="18">
        <v>0.39768604663304474</v>
      </c>
    </row>
    <row r="397" spans="2:13">
      <c r="B397" s="18">
        <v>386</v>
      </c>
      <c r="C397" s="18">
        <v>8366.4295000000002</v>
      </c>
      <c r="D397" s="18">
        <v>1.1842710611151358E-2</v>
      </c>
      <c r="E397" s="18">
        <v>1.2766938996655092E-2</v>
      </c>
      <c r="G397" s="18">
        <v>13204.743</v>
      </c>
      <c r="H397" s="18">
        <v>0.33634305205536774</v>
      </c>
      <c r="I397" s="18">
        <v>0.34065065654100324</v>
      </c>
      <c r="K397" s="18">
        <v>16.526168823242188</v>
      </c>
      <c r="L397" s="18">
        <v>0.38118655591253559</v>
      </c>
      <c r="M397" s="18">
        <v>0.3939514208875482</v>
      </c>
    </row>
    <row r="398" spans="2:13">
      <c r="B398" s="18">
        <v>387</v>
      </c>
      <c r="C398" s="18">
        <v>8370.6810000000005</v>
      </c>
      <c r="D398" s="18">
        <v>1.1798179723348472E-2</v>
      </c>
      <c r="E398" s="18">
        <v>1.2558506348129956E-2</v>
      </c>
      <c r="G398" s="18">
        <v>13208.333000000001</v>
      </c>
      <c r="H398" s="18">
        <v>0.33580093598479765</v>
      </c>
      <c r="I398" s="18">
        <v>0.33906955815587159</v>
      </c>
      <c r="K398" s="18">
        <v>16.542394638061523</v>
      </c>
      <c r="L398" s="18">
        <v>0.37997921288086461</v>
      </c>
      <c r="M398" s="18">
        <v>0.38888554392734187</v>
      </c>
    </row>
    <row r="399" spans="2:13">
      <c r="B399" s="18">
        <v>388</v>
      </c>
      <c r="C399" s="18">
        <v>8380.6124999999993</v>
      </c>
      <c r="D399" s="18">
        <v>1.1753648835545586E-2</v>
      </c>
      <c r="E399" s="18">
        <v>1.2082161342847215E-2</v>
      </c>
      <c r="G399" s="18">
        <v>13210.41</v>
      </c>
      <c r="H399" s="18">
        <v>0.33354400562956094</v>
      </c>
      <c r="I399" s="18">
        <v>0.33815526686842995</v>
      </c>
      <c r="K399" s="18">
        <v>16.555883407592773</v>
      </c>
      <c r="L399" s="18">
        <v>0.37877186984919364</v>
      </c>
      <c r="M399" s="18">
        <v>0.38467441237431577</v>
      </c>
    </row>
    <row r="400" spans="2:13">
      <c r="B400" s="18">
        <v>389</v>
      </c>
      <c r="C400" s="18">
        <v>8381.7939999999999</v>
      </c>
      <c r="D400" s="18">
        <v>1.17091179477427E-2</v>
      </c>
      <c r="E400" s="18">
        <v>1.2026466269577003E-2</v>
      </c>
      <c r="G400" s="18">
        <v>13227.101000000001</v>
      </c>
      <c r="H400" s="18">
        <v>0.33233666259788996</v>
      </c>
      <c r="I400" s="18">
        <v>0.33082082673108487</v>
      </c>
      <c r="K400" s="18">
        <v>16.56634521484375</v>
      </c>
      <c r="L400" s="18">
        <v>0.37756452681752267</v>
      </c>
      <c r="M400" s="18">
        <v>0.38140877433540393</v>
      </c>
    </row>
    <row r="401" spans="2:13">
      <c r="B401" s="18">
        <v>390</v>
      </c>
      <c r="C401" s="18">
        <v>8382.8760000000002</v>
      </c>
      <c r="D401" s="18">
        <v>1.1700954887247312E-2</v>
      </c>
      <c r="E401" s="18">
        <v>1.1975641550136746E-2</v>
      </c>
      <c r="G401" s="18">
        <v>13232.398999999999</v>
      </c>
      <c r="H401" s="18">
        <v>0.33112931956621899</v>
      </c>
      <c r="I401" s="18">
        <v>0.32849786610995657</v>
      </c>
      <c r="K401" s="18">
        <v>16.570846557617188</v>
      </c>
      <c r="L401" s="18">
        <v>0.3763571837858517</v>
      </c>
      <c r="M401" s="18">
        <v>0.38000388714490968</v>
      </c>
    </row>
    <row r="402" spans="2:13">
      <c r="B402" s="18">
        <v>391</v>
      </c>
      <c r="C402" s="18">
        <v>8383.6049999999996</v>
      </c>
      <c r="D402" s="18">
        <v>1.1692791826751923E-2</v>
      </c>
      <c r="E402" s="18">
        <v>1.194149510164382E-2</v>
      </c>
      <c r="G402" s="18">
        <v>13259.254999999999</v>
      </c>
      <c r="H402" s="18">
        <v>0.33058720349564891</v>
      </c>
      <c r="I402" s="18">
        <v>0.31676521093804277</v>
      </c>
      <c r="K402" s="18">
        <v>16.573337554931641</v>
      </c>
      <c r="L402" s="18">
        <v>0.37514984075418073</v>
      </c>
      <c r="M402" s="18">
        <v>0.37922649966637956</v>
      </c>
    </row>
    <row r="403" spans="2:13">
      <c r="B403" s="18">
        <v>392</v>
      </c>
      <c r="C403" s="18">
        <v>8383.8040000000001</v>
      </c>
      <c r="D403" s="18">
        <v>1.1684628766256535E-2</v>
      </c>
      <c r="E403" s="18">
        <v>1.1932187441975014E-2</v>
      </c>
      <c r="G403" s="18">
        <v>13263.112999999999</v>
      </c>
      <c r="H403" s="18">
        <v>0.32937986046397794</v>
      </c>
      <c r="I403" s="18">
        <v>0.3150860853441188</v>
      </c>
      <c r="K403" s="18">
        <v>16.588155746459961</v>
      </c>
      <c r="L403" s="18">
        <v>0.37394249772250976</v>
      </c>
      <c r="M403" s="18">
        <v>0.37460318375111196</v>
      </c>
    </row>
    <row r="404" spans="2:13">
      <c r="B404" s="18">
        <v>393</v>
      </c>
      <c r="C404" s="18">
        <v>8383.884</v>
      </c>
      <c r="D404" s="18">
        <v>1.1546634723030885E-2</v>
      </c>
      <c r="E404" s="18">
        <v>1.1928447302690383E-2</v>
      </c>
      <c r="G404" s="18">
        <v>13277.457</v>
      </c>
      <c r="H404" s="18">
        <v>0.32817251743230696</v>
      </c>
      <c r="I404" s="18">
        <v>0.30885839124130998</v>
      </c>
      <c r="K404" s="18">
        <v>16.589361190795898</v>
      </c>
      <c r="L404" s="18">
        <v>0.37044570708955848</v>
      </c>
      <c r="M404" s="18">
        <v>0.37422717978387465</v>
      </c>
    </row>
    <row r="405" spans="2:13">
      <c r="B405" s="18">
        <v>394</v>
      </c>
      <c r="C405" s="18">
        <v>8387.5509999999995</v>
      </c>
      <c r="D405" s="18">
        <v>1.1004518652460807E-2</v>
      </c>
      <c r="E405" s="18">
        <v>1.1758011421369204E-2</v>
      </c>
      <c r="G405" s="18">
        <v>13282.421</v>
      </c>
      <c r="H405" s="18">
        <v>0.32696517440063599</v>
      </c>
      <c r="I405" s="18">
        <v>0.30670904450364617</v>
      </c>
      <c r="K405" s="18">
        <v>16.651628494262695</v>
      </c>
      <c r="L405" s="18">
        <v>0.36818877673432177</v>
      </c>
      <c r="M405" s="18">
        <v>0.35483609943392747</v>
      </c>
    </row>
    <row r="406" spans="2:13">
      <c r="B406" s="18">
        <v>395</v>
      </c>
      <c r="C406" s="18">
        <v>8388.0895</v>
      </c>
      <c r="D406" s="18">
        <v>1.0959987764657921E-2</v>
      </c>
      <c r="E406" s="18">
        <v>1.1733147635662647E-2</v>
      </c>
      <c r="G406" s="18">
        <v>13292.214</v>
      </c>
      <c r="H406" s="18">
        <v>0.32346838376768472</v>
      </c>
      <c r="I406" s="18">
        <v>0.30247811570556388</v>
      </c>
      <c r="K406" s="18">
        <v>16.655971527099609</v>
      </c>
      <c r="L406" s="18">
        <v>0.36698143370265079</v>
      </c>
      <c r="M406" s="18">
        <v>0.35348663703654076</v>
      </c>
    </row>
    <row r="407" spans="2:13">
      <c r="B407" s="18">
        <v>396</v>
      </c>
      <c r="C407" s="18">
        <v>8389.5720000000001</v>
      </c>
      <c r="D407" s="18">
        <v>1.0821993721432272E-2</v>
      </c>
      <c r="E407" s="18">
        <v>1.1664914308355197E-2</v>
      </c>
      <c r="G407" s="18">
        <v>13300.56</v>
      </c>
      <c r="H407" s="18">
        <v>0.32292626769711463</v>
      </c>
      <c r="I407" s="18">
        <v>0.29888249438752795</v>
      </c>
      <c r="K407" s="18">
        <v>16.677587509155273</v>
      </c>
      <c r="L407" s="18">
        <v>0.36577409067097982</v>
      </c>
      <c r="M407" s="18">
        <v>0.34677788485300648</v>
      </c>
    </row>
    <row r="408" spans="2:13">
      <c r="B408" s="18">
        <v>397</v>
      </c>
      <c r="C408" s="18">
        <v>8395.6640000000007</v>
      </c>
      <c r="D408" s="18">
        <v>1.0683999678206622E-2</v>
      </c>
      <c r="E408" s="18">
        <v>1.1387849317717171E-2</v>
      </c>
      <c r="G408" s="18">
        <v>13313.447</v>
      </c>
      <c r="H408" s="18">
        <v>0.32066933734187791</v>
      </c>
      <c r="I408" s="18">
        <v>0.29334983333735304</v>
      </c>
      <c r="K408" s="18">
        <v>16.705699920654297</v>
      </c>
      <c r="L408" s="18">
        <v>0.3635171603157431</v>
      </c>
      <c r="M408" s="18">
        <v>0.3380750669417727</v>
      </c>
    </row>
    <row r="409" spans="2:13">
      <c r="B409" s="18">
        <v>398</v>
      </c>
      <c r="C409" s="18">
        <v>8398.2510000000002</v>
      </c>
      <c r="D409" s="18">
        <v>1.0675836617711234E-2</v>
      </c>
      <c r="E409" s="18">
        <v>1.1271798097956922E-2</v>
      </c>
      <c r="G409" s="18">
        <v>13317.982</v>
      </c>
      <c r="H409" s="18">
        <v>0.31946199431020694</v>
      </c>
      <c r="I409" s="18">
        <v>0.29140866979749147</v>
      </c>
      <c r="K409" s="18">
        <v>16.706857681274414</v>
      </c>
      <c r="L409" s="18">
        <v>0.36230981728407213</v>
      </c>
      <c r="M409" s="18">
        <v>0.33771726012482239</v>
      </c>
    </row>
    <row r="410" spans="2:13">
      <c r="B410" s="18">
        <v>399</v>
      </c>
      <c r="C410" s="18">
        <v>8399.0079999999998</v>
      </c>
      <c r="D410" s="18">
        <v>1.0537842574485584E-2</v>
      </c>
      <c r="E410" s="18">
        <v>1.1238019374907685E-2</v>
      </c>
      <c r="G410" s="18">
        <v>13323.107</v>
      </c>
      <c r="H410" s="18">
        <v>0.31941746342240407</v>
      </c>
      <c r="I410" s="18">
        <v>0.2892187282841599</v>
      </c>
      <c r="K410" s="18">
        <v>16.710329055786133</v>
      </c>
      <c r="L410" s="18">
        <v>0.36110247425240116</v>
      </c>
      <c r="M410" s="18">
        <v>0.33664473562080321</v>
      </c>
    </row>
    <row r="411" spans="2:13">
      <c r="B411" s="18">
        <v>400</v>
      </c>
      <c r="C411" s="18">
        <v>8399.268</v>
      </c>
      <c r="D411" s="18">
        <v>1.0529679513990196E-2</v>
      </c>
      <c r="E411" s="18">
        <v>1.1226436435119794E-2</v>
      </c>
      <c r="G411" s="18">
        <v>13325.444</v>
      </c>
      <c r="H411" s="18">
        <v>0.31716053306716735</v>
      </c>
      <c r="I411" s="18">
        <v>0.28822146522221581</v>
      </c>
      <c r="K411" s="18">
        <v>16.711767196655273</v>
      </c>
      <c r="L411" s="18">
        <v>0.35989513122073019</v>
      </c>
      <c r="M411" s="18">
        <v>0.33620054035674823</v>
      </c>
    </row>
    <row r="412" spans="2:13">
      <c r="B412" s="18">
        <v>401</v>
      </c>
      <c r="C412" s="18">
        <v>8399.4639999999999</v>
      </c>
      <c r="D412" s="18">
        <v>1.0521516453494808E-2</v>
      </c>
      <c r="E412" s="18">
        <v>1.1217711007604755E-2</v>
      </c>
      <c r="G412" s="18">
        <v>13328.33</v>
      </c>
      <c r="H412" s="18">
        <v>0.31490360271193063</v>
      </c>
      <c r="I412" s="18">
        <v>0.28699111339443778</v>
      </c>
      <c r="K412" s="18">
        <v>16.734657287597656</v>
      </c>
      <c r="L412" s="18">
        <v>0.35763820086549347</v>
      </c>
      <c r="M412" s="18">
        <v>0.32914188177232162</v>
      </c>
    </row>
    <row r="413" spans="2:13">
      <c r="B413" s="18">
        <v>402</v>
      </c>
      <c r="C413" s="18">
        <v>8400.2819999999992</v>
      </c>
      <c r="D413" s="18">
        <v>1.0476985565691922E-2</v>
      </c>
      <c r="E413" s="18">
        <v>1.1181354367257767E-2</v>
      </c>
      <c r="G413" s="18">
        <v>13329.895</v>
      </c>
      <c r="H413" s="18">
        <v>0.31140681207897936</v>
      </c>
      <c r="I413" s="18">
        <v>0.28632447967064861</v>
      </c>
      <c r="K413" s="18">
        <v>16.754758834838867</v>
      </c>
      <c r="L413" s="18">
        <v>0.3564308578338225</v>
      </c>
      <c r="M413" s="18">
        <v>0.32296223992257578</v>
      </c>
    </row>
    <row r="414" spans="2:13">
      <c r="B414" s="18">
        <v>403</v>
      </c>
      <c r="C414" s="18">
        <v>8401.1010000000006</v>
      </c>
      <c r="D414" s="18">
        <v>1.0468822505196533E-2</v>
      </c>
      <c r="E414" s="18">
        <v>1.1145047978485107E-2</v>
      </c>
      <c r="G414" s="18">
        <v>13330.159</v>
      </c>
      <c r="H414" s="18">
        <v>0.30791002144602808</v>
      </c>
      <c r="I414" s="18">
        <v>0.28621206374837771</v>
      </c>
      <c r="K414" s="18">
        <v>16.757938385009766</v>
      </c>
      <c r="L414" s="18">
        <v>0.35522351480215153</v>
      </c>
      <c r="M414" s="18">
        <v>0.32198654885897099</v>
      </c>
    </row>
    <row r="415" spans="2:13">
      <c r="B415" s="18">
        <v>404</v>
      </c>
      <c r="C415" s="18">
        <v>8401.48</v>
      </c>
      <c r="D415" s="18">
        <v>1.0330828461970884E-2</v>
      </c>
      <c r="E415" s="18">
        <v>1.1128278876789287E-2</v>
      </c>
      <c r="G415" s="18">
        <v>13339.596</v>
      </c>
      <c r="H415" s="18">
        <v>0.30441323081307681</v>
      </c>
      <c r="I415" s="18">
        <v>0.28220105280929697</v>
      </c>
      <c r="K415" s="18">
        <v>16.77427864074707</v>
      </c>
      <c r="L415" s="18">
        <v>0.35401617177048056</v>
      </c>
      <c r="M415" s="18">
        <v>0.31698042648001146</v>
      </c>
    </row>
    <row r="416" spans="2:13">
      <c r="B416" s="18">
        <v>405</v>
      </c>
      <c r="C416" s="18">
        <v>8408.1859999999997</v>
      </c>
      <c r="D416" s="18">
        <v>1.0286297574167998E-2</v>
      </c>
      <c r="E416" s="18">
        <v>1.0834899312302044E-2</v>
      </c>
      <c r="G416" s="18">
        <v>13341.9</v>
      </c>
      <c r="H416" s="18">
        <v>0.30091644018012553</v>
      </c>
      <c r="I416" s="18">
        <v>0.28122401598928426</v>
      </c>
      <c r="K416" s="18">
        <v>16.7857666015625</v>
      </c>
      <c r="L416" s="18">
        <v>0.35280882873880959</v>
      </c>
      <c r="M416" s="18">
        <v>0.31346941914849707</v>
      </c>
    </row>
    <row r="417" spans="2:13">
      <c r="B417" s="18">
        <v>406</v>
      </c>
      <c r="C417" s="18">
        <v>8409.7019999999993</v>
      </c>
      <c r="D417" s="18">
        <v>1.0278134513672609E-2</v>
      </c>
      <c r="E417" s="18">
        <v>1.0769444701421093E-2</v>
      </c>
      <c r="G417" s="18">
        <v>13343.41</v>
      </c>
      <c r="H417" s="18">
        <v>0.29741964954717426</v>
      </c>
      <c r="I417" s="18">
        <v>0.28058416773886208</v>
      </c>
      <c r="K417" s="18">
        <v>16.809043884277344</v>
      </c>
      <c r="L417" s="18">
        <v>0.34931203810585831</v>
      </c>
      <c r="M417" s="18">
        <v>0.30637852091436818</v>
      </c>
    </row>
    <row r="418" spans="2:13">
      <c r="B418" s="18">
        <v>407</v>
      </c>
      <c r="C418" s="18">
        <v>8412.6229999999996</v>
      </c>
      <c r="D418" s="18">
        <v>1.0233603625869723E-2</v>
      </c>
      <c r="E418" s="18">
        <v>1.0644223785976447E-2</v>
      </c>
      <c r="G418" s="18">
        <v>13348.252</v>
      </c>
      <c r="H418" s="18">
        <v>0.29392285891422298</v>
      </c>
      <c r="I418" s="18">
        <v>0.27853503104947458</v>
      </c>
      <c r="K418" s="18">
        <v>16.813093185424805</v>
      </c>
      <c r="L418" s="18">
        <v>0.34705510775062159</v>
      </c>
      <c r="M418" s="18">
        <v>0.30514833726720997</v>
      </c>
    </row>
    <row r="419" spans="2:13">
      <c r="B419" s="18">
        <v>408</v>
      </c>
      <c r="C419" s="18">
        <v>8412.9189999999999</v>
      </c>
      <c r="D419" s="18">
        <v>1.0225440565374335E-2</v>
      </c>
      <c r="E419" s="18">
        <v>1.0631600090146753E-2</v>
      </c>
      <c r="G419" s="18">
        <v>13372.644</v>
      </c>
      <c r="H419" s="18">
        <v>0.29271551588255201</v>
      </c>
      <c r="I419" s="18">
        <v>0.26827543145079774</v>
      </c>
      <c r="K419" s="18">
        <v>16.824579238891602</v>
      </c>
      <c r="L419" s="18">
        <v>0.34355831711767032</v>
      </c>
      <c r="M419" s="18">
        <v>0.30166452419636258</v>
      </c>
    </row>
    <row r="420" spans="2:13">
      <c r="B420" s="18">
        <v>409</v>
      </c>
      <c r="C420" s="18">
        <v>8414.0959999999995</v>
      </c>
      <c r="D420" s="18">
        <v>1.0217277504878946E-2</v>
      </c>
      <c r="E420" s="18">
        <v>1.0581522863619925E-2</v>
      </c>
      <c r="G420" s="18">
        <v>13376.409</v>
      </c>
      <c r="H420" s="18">
        <v>0.29150817285088104</v>
      </c>
      <c r="I420" s="18">
        <v>0.26670159833984108</v>
      </c>
      <c r="K420" s="18">
        <v>16.855258941650391</v>
      </c>
      <c r="L420" s="18">
        <v>0.3413013867624336</v>
      </c>
      <c r="M420" s="18">
        <v>0.29240256999964809</v>
      </c>
    </row>
    <row r="421" spans="2:13">
      <c r="B421" s="18">
        <v>410</v>
      </c>
      <c r="C421" s="18">
        <v>8420.402</v>
      </c>
      <c r="D421" s="18">
        <v>1.017274661707606E-2</v>
      </c>
      <c r="E421" s="18">
        <v>1.0316445544726551E-2</v>
      </c>
      <c r="G421" s="18">
        <v>13377.253000000001</v>
      </c>
      <c r="H421" s="18">
        <v>0.28801138221792977</v>
      </c>
      <c r="I421" s="18">
        <v>0.2663491635885426</v>
      </c>
      <c r="K421" s="18">
        <v>16.866073608398438</v>
      </c>
      <c r="L421" s="18">
        <v>0.33780459612948233</v>
      </c>
      <c r="M421" s="18">
        <v>0.2891537223712165</v>
      </c>
    </row>
    <row r="422" spans="2:13">
      <c r="B422" s="18">
        <v>411</v>
      </c>
      <c r="C422" s="18">
        <v>8428.6589999999997</v>
      </c>
      <c r="D422" s="18">
        <v>1.0164583556580672E-2</v>
      </c>
      <c r="E422" s="18">
        <v>9.9774682637147425E-3</v>
      </c>
      <c r="G422" s="18">
        <v>13382.674999999999</v>
      </c>
      <c r="H422" s="18">
        <v>0.2868040391862588</v>
      </c>
      <c r="I422" s="18">
        <v>0.2640883444660449</v>
      </c>
      <c r="K422" s="18">
        <v>16.883964538574219</v>
      </c>
      <c r="L422" s="18">
        <v>0.33554766577424561</v>
      </c>
      <c r="M422" s="18">
        <v>0.28379861871958351</v>
      </c>
    </row>
    <row r="423" spans="2:13">
      <c r="B423" s="18">
        <v>412</v>
      </c>
      <c r="C423" s="18">
        <v>8433.4279999999999</v>
      </c>
      <c r="D423" s="18">
        <v>8.95724052490968E-3</v>
      </c>
      <c r="E423" s="18">
        <v>9.7858149580833144E-3</v>
      </c>
      <c r="G423" s="18">
        <v>13386.279</v>
      </c>
      <c r="H423" s="18">
        <v>0.28330724855330752</v>
      </c>
      <c r="I423" s="18">
        <v>0.26258875763203948</v>
      </c>
      <c r="K423" s="18">
        <v>16.887750625610352</v>
      </c>
      <c r="L423" s="18">
        <v>0.33329073541900889</v>
      </c>
      <c r="M423" s="18">
        <v>0.28266859616987683</v>
      </c>
    </row>
    <row r="424" spans="2:13">
      <c r="B424" s="18">
        <v>413</v>
      </c>
      <c r="C424" s="18">
        <v>8441.41</v>
      </c>
      <c r="D424" s="18">
        <v>8.8192464816840305E-3</v>
      </c>
      <c r="E424" s="18">
        <v>9.4716988793715623E-3</v>
      </c>
      <c r="G424" s="18">
        <v>13386.439</v>
      </c>
      <c r="H424" s="18">
        <v>0.28276513248273744</v>
      </c>
      <c r="I424" s="18">
        <v>0.26252224275793962</v>
      </c>
      <c r="K424" s="18">
        <v>16.901660919189453</v>
      </c>
      <c r="L424" s="18">
        <v>0.32979394478605761</v>
      </c>
      <c r="M424" s="18">
        <v>0.27852685593908066</v>
      </c>
    </row>
    <row r="425" spans="2:13">
      <c r="B425" s="18">
        <v>414</v>
      </c>
      <c r="C425" s="18">
        <v>8446.7080000000005</v>
      </c>
      <c r="D425" s="18">
        <v>8.2771304111139525E-3</v>
      </c>
      <c r="E425" s="18">
        <v>9.2677461624309648E-3</v>
      </c>
      <c r="G425" s="18">
        <v>13393.593000000001</v>
      </c>
      <c r="H425" s="18">
        <v>0.28155778945106646</v>
      </c>
      <c r="I425" s="18">
        <v>0.25955342605387555</v>
      </c>
      <c r="K425" s="18">
        <v>16.901962280273438</v>
      </c>
      <c r="L425" s="18">
        <v>0.32629715415310634</v>
      </c>
      <c r="M425" s="18">
        <v>0.278437304220506</v>
      </c>
    </row>
    <row r="426" spans="2:13">
      <c r="B426" s="18">
        <v>415</v>
      </c>
      <c r="C426" s="18">
        <v>8447.384</v>
      </c>
      <c r="D426" s="18">
        <v>8.2325995233110665E-3</v>
      </c>
      <c r="E426" s="18">
        <v>9.2419805178258745E-3</v>
      </c>
      <c r="G426" s="18">
        <v>13394.826999999999</v>
      </c>
      <c r="H426" s="18">
        <v>0.27806099881811519</v>
      </c>
      <c r="I426" s="18">
        <v>0.25904237651853657</v>
      </c>
      <c r="K426" s="18">
        <v>16.90667724609375</v>
      </c>
      <c r="L426" s="18">
        <v>0.32280036352015506</v>
      </c>
      <c r="M426" s="18">
        <v>0.27703721429765887</v>
      </c>
    </row>
    <row r="427" spans="2:13">
      <c r="B427" s="18">
        <v>416</v>
      </c>
      <c r="C427" s="18">
        <v>8448.2780000000002</v>
      </c>
      <c r="D427" s="18">
        <v>8.224436462815678E-3</v>
      </c>
      <c r="E427" s="18">
        <v>9.2079949436029741E-3</v>
      </c>
      <c r="G427" s="18">
        <v>13395.173000000001</v>
      </c>
      <c r="H427" s="18">
        <v>0.27456420818516392</v>
      </c>
      <c r="I427" s="18">
        <v>0.25889913955107224</v>
      </c>
      <c r="K427" s="18">
        <v>16.924320220947266</v>
      </c>
      <c r="L427" s="18">
        <v>0.32159302048848409</v>
      </c>
      <c r="M427" s="18">
        <v>0.27181519681076816</v>
      </c>
    </row>
    <row r="428" spans="2:13">
      <c r="B428" s="18">
        <v>417</v>
      </c>
      <c r="C428" s="18">
        <v>8448.7389999999996</v>
      </c>
      <c r="D428" s="18">
        <v>8.1799055750127921E-3</v>
      </c>
      <c r="E428" s="18">
        <v>9.1905095386718635E-3</v>
      </c>
      <c r="G428" s="18">
        <v>13395.777</v>
      </c>
      <c r="H428" s="18">
        <v>0.27335686515349295</v>
      </c>
      <c r="I428" s="18">
        <v>0.25864915441939429</v>
      </c>
      <c r="K428" s="18">
        <v>16.925691604614258</v>
      </c>
      <c r="L428" s="18">
        <v>0.32038567745681312</v>
      </c>
      <c r="M428" s="18">
        <v>0.27141043843686985</v>
      </c>
    </row>
    <row r="429" spans="2:13">
      <c r="B429" s="18">
        <v>418</v>
      </c>
      <c r="C429" s="18">
        <v>8450.4580000000005</v>
      </c>
      <c r="D429" s="18">
        <v>8.1353746872099061E-3</v>
      </c>
      <c r="E429" s="18">
        <v>9.1255460457618804E-3</v>
      </c>
      <c r="G429" s="18">
        <v>13398.803</v>
      </c>
      <c r="H429" s="18">
        <v>0.26986007452054167</v>
      </c>
      <c r="I429" s="18">
        <v>0.25739787195148978</v>
      </c>
      <c r="K429" s="18">
        <v>16.926067352294922</v>
      </c>
      <c r="L429" s="18">
        <v>0.3181287471015764</v>
      </c>
      <c r="M429" s="18">
        <v>0.27129956741319355</v>
      </c>
    </row>
    <row r="430" spans="2:13">
      <c r="B430" s="18">
        <v>419</v>
      </c>
      <c r="C430" s="18">
        <v>8451.7690000000002</v>
      </c>
      <c r="D430" s="18">
        <v>7.9973806439842567E-3</v>
      </c>
      <c r="E430" s="18">
        <v>9.0762519620741292E-3</v>
      </c>
      <c r="G430" s="18">
        <v>13404.644</v>
      </c>
      <c r="H430" s="18">
        <v>0.2686527314888707</v>
      </c>
      <c r="I430" s="18">
        <v>0.2549879235711433</v>
      </c>
      <c r="K430" s="18">
        <v>16.933576583862305</v>
      </c>
      <c r="L430" s="18">
        <v>0.31692140406990543</v>
      </c>
      <c r="M430" s="18">
        <v>0.26908650791703531</v>
      </c>
    </row>
    <row r="431" spans="2:13">
      <c r="B431" s="18">
        <v>420</v>
      </c>
      <c r="C431" s="18">
        <v>8451.7999999999993</v>
      </c>
      <c r="D431" s="18">
        <v>7.8593866007586072E-3</v>
      </c>
      <c r="E431" s="18">
        <v>9.075088967804493E-3</v>
      </c>
      <c r="G431" s="18">
        <v>13433.573</v>
      </c>
      <c r="H431" s="18">
        <v>0.26515594085591943</v>
      </c>
      <c r="I431" s="18">
        <v>0.24316046079101408</v>
      </c>
      <c r="K431" s="18">
        <v>16.935911178588867</v>
      </c>
      <c r="L431" s="18">
        <v>0.31571406103823446</v>
      </c>
      <c r="M431" s="18">
        <v>0.26839952173072273</v>
      </c>
    </row>
    <row r="432" spans="2:13">
      <c r="B432" s="18">
        <v>421</v>
      </c>
      <c r="C432" s="18">
        <v>8452.7340000000004</v>
      </c>
      <c r="D432" s="18">
        <v>7.8512235402632188E-3</v>
      </c>
      <c r="E432" s="18">
        <v>9.040105675565669E-3</v>
      </c>
      <c r="G432" s="18">
        <v>13436.645</v>
      </c>
      <c r="H432" s="18">
        <v>0.26165915022296815</v>
      </c>
      <c r="I432" s="18">
        <v>0.24191549288336242</v>
      </c>
      <c r="K432" s="18">
        <v>16.952043533325195</v>
      </c>
      <c r="L432" s="18">
        <v>0.31221727040528319</v>
      </c>
      <c r="M432" s="18">
        <v>0.26366622728982159</v>
      </c>
    </row>
    <row r="433" spans="2:13">
      <c r="B433" s="18">
        <v>422</v>
      </c>
      <c r="C433" s="18">
        <v>8456.7980000000007</v>
      </c>
      <c r="D433" s="18">
        <v>7.8066926524603328E-3</v>
      </c>
      <c r="E433" s="18">
        <v>8.8891576331157612E-3</v>
      </c>
      <c r="G433" s="18">
        <v>13441.851000000001</v>
      </c>
      <c r="H433" s="18">
        <v>0.25816235959001688</v>
      </c>
      <c r="I433" s="18">
        <v>0.23981069134491609</v>
      </c>
      <c r="K433" s="18">
        <v>16.95789909362793</v>
      </c>
      <c r="L433" s="18">
        <v>0.30872047977233191</v>
      </c>
      <c r="M433" s="18">
        <v>0.26195430027212147</v>
      </c>
    </row>
    <row r="434" spans="2:13">
      <c r="B434" s="18">
        <v>423</v>
      </c>
      <c r="C434" s="18">
        <v>8459.1759999999995</v>
      </c>
      <c r="D434" s="18">
        <v>7.7621617646574459E-3</v>
      </c>
      <c r="E434" s="18">
        <v>8.8017848419675374E-3</v>
      </c>
      <c r="G434" s="18">
        <v>13446.093000000001</v>
      </c>
      <c r="H434" s="18">
        <v>0.25590542923478016</v>
      </c>
      <c r="I434" s="18">
        <v>0.23810033981834147</v>
      </c>
      <c r="K434" s="18">
        <v>16.957950592041016</v>
      </c>
      <c r="L434" s="18">
        <v>0.30522368913938064</v>
      </c>
      <c r="M434" s="18">
        <v>0.26193925895039366</v>
      </c>
    </row>
    <row r="435" spans="2:13">
      <c r="B435" s="18">
        <v>424</v>
      </c>
      <c r="C435" s="18">
        <v>8460.8169999999991</v>
      </c>
      <c r="D435" s="18">
        <v>7.2200456940873688E-3</v>
      </c>
      <c r="E435" s="18">
        <v>8.7418984978478824E-3</v>
      </c>
      <c r="G435" s="18">
        <v>13446.499</v>
      </c>
      <c r="H435" s="18">
        <v>0.25240863860182888</v>
      </c>
      <c r="I435" s="18">
        <v>0.23793686619772447</v>
      </c>
      <c r="K435" s="18">
        <v>16.962034225463867</v>
      </c>
      <c r="L435" s="18">
        <v>0.30172689850642936</v>
      </c>
      <c r="M435" s="18">
        <v>0.2607473611920359</v>
      </c>
    </row>
    <row r="436" spans="2:13">
      <c r="B436" s="18">
        <v>425</v>
      </c>
      <c r="C436" s="18">
        <v>8467.5310000000009</v>
      </c>
      <c r="D436" s="18">
        <v>7.0820516508617202E-3</v>
      </c>
      <c r="E436" s="18">
        <v>8.5003154654814204E-3</v>
      </c>
      <c r="G436" s="18">
        <v>13451.144</v>
      </c>
      <c r="H436" s="18">
        <v>0.25015170824659216</v>
      </c>
      <c r="I436" s="18">
        <v>0.2360693838048436</v>
      </c>
      <c r="K436" s="18">
        <v>16.963405609130859</v>
      </c>
      <c r="L436" s="18">
        <v>0.30051955547475839</v>
      </c>
      <c r="M436" s="18">
        <v>0.26034745922443708</v>
      </c>
    </row>
    <row r="437" spans="2:13">
      <c r="B437" s="18">
        <v>426</v>
      </c>
      <c r="C437" s="18">
        <v>8469.768</v>
      </c>
      <c r="D437" s="18">
        <v>7.0738885903663317E-3</v>
      </c>
      <c r="E437" s="18">
        <v>8.4210400267563067E-3</v>
      </c>
      <c r="G437" s="18">
        <v>13451.966</v>
      </c>
      <c r="H437" s="18">
        <v>0.24894436521492119</v>
      </c>
      <c r="I437" s="18">
        <v>0.23573944504382369</v>
      </c>
      <c r="K437" s="18">
        <v>16.968160629272461</v>
      </c>
      <c r="L437" s="18">
        <v>0.29826262511952167</v>
      </c>
      <c r="M437" s="18">
        <v>0.25896231104849621</v>
      </c>
    </row>
    <row r="438" spans="2:13">
      <c r="B438" s="18">
        <v>427</v>
      </c>
      <c r="C438" s="18">
        <v>8471.0190000000002</v>
      </c>
      <c r="D438" s="18">
        <v>7.0657255298709433E-3</v>
      </c>
      <c r="E438" s="18">
        <v>8.3769696084288435E-3</v>
      </c>
      <c r="G438" s="18">
        <v>13453.505999999999</v>
      </c>
      <c r="H438" s="18">
        <v>0.24773702218325019</v>
      </c>
      <c r="I438" s="18">
        <v>0.23512175083831574</v>
      </c>
      <c r="K438" s="18">
        <v>16.972955703735352</v>
      </c>
      <c r="L438" s="18">
        <v>0.2970552820878507</v>
      </c>
      <c r="M438" s="18">
        <v>0.25756777521082991</v>
      </c>
    </row>
    <row r="439" spans="2:13">
      <c r="B439" s="18">
        <v>428</v>
      </c>
      <c r="C439" s="18">
        <v>8473.3580000000002</v>
      </c>
      <c r="D439" s="18">
        <v>7.0575624693755548E-3</v>
      </c>
      <c r="E439" s="18">
        <v>8.2950744479433347E-3</v>
      </c>
      <c r="G439" s="18">
        <v>13457.795</v>
      </c>
      <c r="H439" s="18">
        <v>0.2454800918280135</v>
      </c>
      <c r="I439" s="18">
        <v>0.23340446901723724</v>
      </c>
      <c r="K439" s="18">
        <v>16.984586715698242</v>
      </c>
      <c r="L439" s="18">
        <v>0.29355849145489943</v>
      </c>
      <c r="M439" s="18">
        <v>0.25419483631184048</v>
      </c>
    </row>
    <row r="440" spans="2:13">
      <c r="B440" s="18">
        <v>429</v>
      </c>
      <c r="C440" s="18">
        <v>8474.19</v>
      </c>
      <c r="D440" s="18">
        <v>6.9195684261499062E-3</v>
      </c>
      <c r="E440" s="18">
        <v>8.2661013443617991E-3</v>
      </c>
      <c r="G440" s="18">
        <v>13464.291999999999</v>
      </c>
      <c r="H440" s="18">
        <v>0.2442727487963425</v>
      </c>
      <c r="I440" s="18">
        <v>0.23081172497240562</v>
      </c>
      <c r="K440" s="18">
        <v>16.993200302124023</v>
      </c>
      <c r="L440" s="18">
        <v>0.29130156109966271</v>
      </c>
      <c r="M440" s="18">
        <v>0.25170593197555491</v>
      </c>
    </row>
    <row r="441" spans="2:13">
      <c r="B441" s="18">
        <v>430</v>
      </c>
      <c r="C441" s="18">
        <v>8480.9030000000002</v>
      </c>
      <c r="D441" s="18">
        <v>6.7815743829242577E-3</v>
      </c>
      <c r="E441" s="18">
        <v>8.0353333989289528E-3</v>
      </c>
      <c r="G441" s="18">
        <v>13464.898999999999</v>
      </c>
      <c r="H441" s="18">
        <v>0.2430654057646715</v>
      </c>
      <c r="I441" s="18">
        <v>0.23057002539211116</v>
      </c>
      <c r="K441" s="18">
        <v>16.997203826904297</v>
      </c>
      <c r="L441" s="18">
        <v>0.28904463074442599</v>
      </c>
      <c r="M441" s="18">
        <v>0.25055176249395433</v>
      </c>
    </row>
    <row r="442" spans="2:13">
      <c r="B442" s="18">
        <v>431</v>
      </c>
      <c r="C442" s="18">
        <v>8482.3809999999994</v>
      </c>
      <c r="D442" s="18">
        <v>6.7370434951213708E-3</v>
      </c>
      <c r="E442" s="18">
        <v>7.9852374790875709E-3</v>
      </c>
      <c r="G442" s="18">
        <v>13480.195</v>
      </c>
      <c r="H442" s="18">
        <v>0.24080847540943481</v>
      </c>
      <c r="I442" s="18">
        <v>0.22451008805463832</v>
      </c>
      <c r="K442" s="18">
        <v>17.01945686340332</v>
      </c>
      <c r="L442" s="18">
        <v>0.28678770038918927</v>
      </c>
      <c r="M442" s="18">
        <v>0.24416794143469817</v>
      </c>
    </row>
    <row r="443" spans="2:13">
      <c r="B443" s="18">
        <v>432</v>
      </c>
      <c r="C443" s="18">
        <v>8489.009</v>
      </c>
      <c r="D443" s="18">
        <v>6.692512607318484E-3</v>
      </c>
      <c r="E443" s="18">
        <v>7.7637078241489391E-3</v>
      </c>
      <c r="G443" s="18">
        <v>13480.325999999999</v>
      </c>
      <c r="H443" s="18">
        <v>0.23960113237776381</v>
      </c>
      <c r="I443" s="18">
        <v>0.22445844746980068</v>
      </c>
      <c r="K443" s="18">
        <v>17.059852600097656</v>
      </c>
      <c r="L443" s="18">
        <v>0.283290909756238</v>
      </c>
      <c r="M443" s="18">
        <v>0.23272217662165257</v>
      </c>
    </row>
    <row r="444" spans="2:13">
      <c r="B444" s="18">
        <v>433</v>
      </c>
      <c r="C444" s="18">
        <v>8492.3189999999995</v>
      </c>
      <c r="D444" s="18">
        <v>6.6479817195155971E-3</v>
      </c>
      <c r="E444" s="18">
        <v>7.6549704262018764E-3</v>
      </c>
      <c r="G444" s="18">
        <v>13481.324000000001</v>
      </c>
      <c r="H444" s="18">
        <v>0.23839378934609282</v>
      </c>
      <c r="I444" s="18">
        <v>0.22406517911384727</v>
      </c>
      <c r="K444" s="18">
        <v>17.068939208984375</v>
      </c>
      <c r="L444" s="18">
        <v>0.28208356672456703</v>
      </c>
      <c r="M444" s="18">
        <v>0.23017414256477209</v>
      </c>
    </row>
    <row r="445" spans="2:13">
      <c r="B445" s="18">
        <v>434</v>
      </c>
      <c r="C445" s="18">
        <v>8512.2909999999993</v>
      </c>
      <c r="D445" s="18">
        <v>6.6398186590202087E-3</v>
      </c>
      <c r="E445" s="18">
        <v>7.0249745103563689E-3</v>
      </c>
      <c r="G445" s="18">
        <v>13482.441999999999</v>
      </c>
      <c r="H445" s="18">
        <v>0.23718644631442182</v>
      </c>
      <c r="I445" s="18">
        <v>0.2236249314415743</v>
      </c>
      <c r="K445" s="18">
        <v>17.080522537231445</v>
      </c>
      <c r="L445" s="18">
        <v>0.27982663636933031</v>
      </c>
      <c r="M445" s="18">
        <v>0.22694068279132176</v>
      </c>
    </row>
    <row r="446" spans="2:13">
      <c r="B446" s="18">
        <v>435</v>
      </c>
      <c r="C446" s="18">
        <v>8512.8919999999998</v>
      </c>
      <c r="D446" s="18">
        <v>6.5018246157945601E-3</v>
      </c>
      <c r="E446" s="18">
        <v>7.0066968889132717E-3</v>
      </c>
      <c r="G446" s="18">
        <v>13485.32</v>
      </c>
      <c r="H446" s="18">
        <v>0.23597910328275082</v>
      </c>
      <c r="I446" s="18">
        <v>0.22249312902848095</v>
      </c>
      <c r="K446" s="18">
        <v>17.082088470458984</v>
      </c>
      <c r="L446" s="18">
        <v>0.27756970601409359</v>
      </c>
      <c r="M446" s="18">
        <v>0.22650483678060562</v>
      </c>
    </row>
    <row r="447" spans="2:13">
      <c r="B447" s="18">
        <v>436</v>
      </c>
      <c r="C447" s="18">
        <v>8524.4330000000009</v>
      </c>
      <c r="D447" s="18">
        <v>6.4572937279916733E-3</v>
      </c>
      <c r="E447" s="18">
        <v>6.6632117172157066E-3</v>
      </c>
      <c r="G447" s="18">
        <v>13488.882</v>
      </c>
      <c r="H447" s="18">
        <v>0.23248231264979954</v>
      </c>
      <c r="I447" s="18">
        <v>0.22109534787462162</v>
      </c>
      <c r="K447" s="18">
        <v>17.093143463134766</v>
      </c>
      <c r="L447" s="18">
        <v>0.27407291538114231</v>
      </c>
      <c r="M447" s="18">
        <v>0.22343670381751249</v>
      </c>
    </row>
    <row r="448" spans="2:13">
      <c r="B448" s="18">
        <v>437</v>
      </c>
      <c r="C448" s="18">
        <v>8528.5619999999999</v>
      </c>
      <c r="D448" s="18">
        <v>6.3192996847660247E-3</v>
      </c>
      <c r="E448" s="18">
        <v>6.5437379295887176E-3</v>
      </c>
      <c r="G448" s="18">
        <v>13500.161</v>
      </c>
      <c r="H448" s="18">
        <v>0.23127496961812855</v>
      </c>
      <c r="I448" s="18">
        <v>0.21669158017647519</v>
      </c>
      <c r="K448" s="18">
        <v>17.095939636230469</v>
      </c>
      <c r="L448" s="18">
        <v>0.27286557234947134</v>
      </c>
      <c r="M448" s="18">
        <v>0.22266313664323908</v>
      </c>
    </row>
    <row r="449" spans="2:13">
      <c r="B449" s="18">
        <v>438</v>
      </c>
      <c r="C449" s="18">
        <v>8533.6200000000008</v>
      </c>
      <c r="D449" s="18">
        <v>6.3111366242706362E-3</v>
      </c>
      <c r="E449" s="18">
        <v>6.3997910593682423E-3</v>
      </c>
      <c r="G449" s="18">
        <v>13501.972</v>
      </c>
      <c r="H449" s="18">
        <v>0.22777817898517727</v>
      </c>
      <c r="I449" s="18">
        <v>0.21598768946698912</v>
      </c>
      <c r="K449" s="18">
        <v>17.10887336730957</v>
      </c>
      <c r="L449" s="18">
        <v>0.26936878171652007</v>
      </c>
      <c r="M449" s="18">
        <v>0.21909813931940539</v>
      </c>
    </row>
    <row r="450" spans="2:13">
      <c r="B450" s="18">
        <v>439</v>
      </c>
      <c r="C450" s="18">
        <v>8537.1939999999995</v>
      </c>
      <c r="D450" s="18">
        <v>6.2666057364677494E-3</v>
      </c>
      <c r="E450" s="18">
        <v>6.2996583353102983E-3</v>
      </c>
      <c r="G450" s="18">
        <v>13510.675999999999</v>
      </c>
      <c r="H450" s="18">
        <v>0.224281388352226</v>
      </c>
      <c r="I450" s="18">
        <v>0.21261719949866367</v>
      </c>
      <c r="K450" s="18">
        <v>17.109350204467773</v>
      </c>
      <c r="L450" s="18">
        <v>0.26587199108356879</v>
      </c>
      <c r="M450" s="18">
        <v>0.21896712296314791</v>
      </c>
    </row>
    <row r="451" spans="2:13">
      <c r="B451" s="18">
        <v>440</v>
      </c>
      <c r="C451" s="18">
        <v>8551.7099999999991</v>
      </c>
      <c r="D451" s="18">
        <v>5.7244896658976722E-3</v>
      </c>
      <c r="E451" s="18">
        <v>5.9061427758957188E-3</v>
      </c>
      <c r="G451" s="18">
        <v>13511.562</v>
      </c>
      <c r="H451" s="18">
        <v>0.22202445799698931</v>
      </c>
      <c r="I451" s="18">
        <v>0.21227528345123492</v>
      </c>
      <c r="K451" s="18">
        <v>17.109443664550781</v>
      </c>
      <c r="L451" s="18">
        <v>0.26466464805189782</v>
      </c>
      <c r="M451" s="18">
        <v>0.21894144725864267</v>
      </c>
    </row>
    <row r="452" spans="2:13">
      <c r="B452" s="18">
        <v>441</v>
      </c>
      <c r="C452" s="18">
        <v>8556.1790000000001</v>
      </c>
      <c r="D452" s="18">
        <v>5.6799587780947854E-3</v>
      </c>
      <c r="E452" s="18">
        <v>5.7891646212455553E-3</v>
      </c>
      <c r="G452" s="18">
        <v>13512.657999999999</v>
      </c>
      <c r="H452" s="18">
        <v>0.21852766736403803</v>
      </c>
      <c r="I452" s="18">
        <v>0.21185262877758418</v>
      </c>
      <c r="K452" s="18">
        <v>17.110382080078125</v>
      </c>
      <c r="L452" s="18">
        <v>0.2624077176966611</v>
      </c>
      <c r="M452" s="18">
        <v>0.21868370588829197</v>
      </c>
    </row>
    <row r="453" spans="2:13">
      <c r="B453" s="18">
        <v>442</v>
      </c>
      <c r="C453" s="18">
        <v>8557.2070000000003</v>
      </c>
      <c r="D453" s="18">
        <v>5.5419647348691368E-3</v>
      </c>
      <c r="E453" s="18">
        <v>5.7625291089697297E-3</v>
      </c>
      <c r="G453" s="18">
        <v>13522.259</v>
      </c>
      <c r="H453" s="18">
        <v>0.21732032433236703</v>
      </c>
      <c r="I453" s="18">
        <v>0.20816457503974733</v>
      </c>
      <c r="K453" s="18">
        <v>17.117164611816406</v>
      </c>
      <c r="L453" s="18">
        <v>0.26015078734142438</v>
      </c>
      <c r="M453" s="18">
        <v>0.21682430102584271</v>
      </c>
    </row>
    <row r="454" spans="2:13">
      <c r="B454" s="18">
        <v>443</v>
      </c>
      <c r="C454" s="18">
        <v>8559.884</v>
      </c>
      <c r="D454" s="18">
        <v>5.5338016743737483E-3</v>
      </c>
      <c r="E454" s="18">
        <v>5.6936433018944972E-3</v>
      </c>
      <c r="G454" s="18">
        <v>13527.37</v>
      </c>
      <c r="H454" s="18">
        <v>0.21382353369941576</v>
      </c>
      <c r="I454" s="18">
        <v>0.20621194792189929</v>
      </c>
      <c r="K454" s="18">
        <v>17.119533538818359</v>
      </c>
      <c r="L454" s="18">
        <v>0.25894344430975341</v>
      </c>
      <c r="M454" s="18">
        <v>0.21617630802618537</v>
      </c>
    </row>
    <row r="455" spans="2:13">
      <c r="B455" s="18">
        <v>444</v>
      </c>
      <c r="C455" s="18">
        <v>8570.3829999999998</v>
      </c>
      <c r="D455" s="18">
        <v>5.5256386138783599E-3</v>
      </c>
      <c r="E455" s="18">
        <v>5.4300218776308709E-3</v>
      </c>
      <c r="G455" s="18">
        <v>13532.976000000001</v>
      </c>
      <c r="H455" s="18">
        <v>0.21156660334417907</v>
      </c>
      <c r="I455" s="18">
        <v>0.20407885656795136</v>
      </c>
      <c r="K455" s="18">
        <v>17.141244888305664</v>
      </c>
      <c r="L455" s="18">
        <v>0.25668651395451669</v>
      </c>
      <c r="M455" s="18">
        <v>0.21027269599798856</v>
      </c>
    </row>
    <row r="456" spans="2:13">
      <c r="B456" s="18">
        <v>445</v>
      </c>
      <c r="C456" s="18">
        <v>8589.1630000000005</v>
      </c>
      <c r="D456" s="18">
        <v>5.5174755533829714E-3</v>
      </c>
      <c r="E456" s="18">
        <v>4.9837198759866575E-3</v>
      </c>
      <c r="G456" s="18">
        <v>13533.677</v>
      </c>
      <c r="H456" s="18">
        <v>0.21035926031250807</v>
      </c>
      <c r="I456" s="18">
        <v>0.20381276631352188</v>
      </c>
      <c r="K456" s="18">
        <v>17.147943496704102</v>
      </c>
      <c r="L456" s="18">
        <v>0.25318972332156542</v>
      </c>
      <c r="M456" s="18">
        <v>0.20846430147717168</v>
      </c>
    </row>
    <row r="457" spans="2:13">
      <c r="B457" s="18">
        <v>446</v>
      </c>
      <c r="C457" s="18">
        <v>8590.4979999999996</v>
      </c>
      <c r="D457" s="18">
        <v>5.4729446655800845E-3</v>
      </c>
      <c r="E457" s="18">
        <v>4.9531917971522106E-3</v>
      </c>
      <c r="G457" s="18">
        <v>13537.263000000001</v>
      </c>
      <c r="H457" s="18">
        <v>0.20810232995727138</v>
      </c>
      <c r="I457" s="18">
        <v>0.20245381312508348</v>
      </c>
      <c r="K457" s="18">
        <v>17.158962249755859</v>
      </c>
      <c r="L457" s="18">
        <v>0.25198238028989445</v>
      </c>
      <c r="M457" s="18">
        <v>0.20550327002290031</v>
      </c>
    </row>
    <row r="458" spans="2:13">
      <c r="B458" s="18">
        <v>447</v>
      </c>
      <c r="C458" s="18">
        <v>8591.4539999999997</v>
      </c>
      <c r="D458" s="18">
        <v>5.464781605084696E-3</v>
      </c>
      <c r="E458" s="18">
        <v>4.9314262364099134E-3</v>
      </c>
      <c r="G458" s="18">
        <v>13540.02</v>
      </c>
      <c r="H458" s="18">
        <v>0.20584539960203468</v>
      </c>
      <c r="I458" s="18">
        <v>0.20141158360047021</v>
      </c>
      <c r="K458" s="18">
        <v>17.165313720703125</v>
      </c>
      <c r="L458" s="18">
        <v>0.25144026421932436</v>
      </c>
      <c r="M458" s="18">
        <v>0.20380426900025292</v>
      </c>
    </row>
    <row r="459" spans="2:13">
      <c r="B459" s="18">
        <v>448</v>
      </c>
      <c r="C459" s="18">
        <v>8608.0079999999998</v>
      </c>
      <c r="D459" s="18">
        <v>5.3267875618590475E-3</v>
      </c>
      <c r="E459" s="18">
        <v>4.566979396794158E-3</v>
      </c>
      <c r="G459" s="18">
        <v>13543.278</v>
      </c>
      <c r="H459" s="18">
        <v>0.20234860896908341</v>
      </c>
      <c r="I459" s="18">
        <v>0.20018285358644305</v>
      </c>
      <c r="K459" s="18">
        <v>17.165506362915039</v>
      </c>
      <c r="L459" s="18">
        <v>0.24918333386408764</v>
      </c>
      <c r="M459" s="18">
        <v>0.20375282771495878</v>
      </c>
    </row>
    <row r="460" spans="2:13">
      <c r="B460" s="18">
        <v>449</v>
      </c>
      <c r="C460" s="18">
        <v>8633.7919999999995</v>
      </c>
      <c r="D460" s="18">
        <v>5.188793518633399E-3</v>
      </c>
      <c r="E460" s="18">
        <v>4.0442538794911737E-3</v>
      </c>
      <c r="G460" s="18">
        <v>13544.449000000001</v>
      </c>
      <c r="H460" s="18">
        <v>0.19885181833613214</v>
      </c>
      <c r="I460" s="18">
        <v>0.19974198893140035</v>
      </c>
      <c r="K460" s="18">
        <v>17.171098709106445</v>
      </c>
      <c r="L460" s="18">
        <v>0.24692640350885095</v>
      </c>
      <c r="M460" s="18">
        <v>0.20226182486772848</v>
      </c>
    </row>
    <row r="461" spans="2:13">
      <c r="B461" s="18">
        <v>450</v>
      </c>
      <c r="C461" s="18">
        <v>8643.0540000000001</v>
      </c>
      <c r="D461" s="18">
        <v>5.1806304581380105E-3</v>
      </c>
      <c r="E461" s="18">
        <v>3.8691695061016523E-3</v>
      </c>
      <c r="G461" s="18">
        <v>13544.734</v>
      </c>
      <c r="H461" s="18">
        <v>0.19535502770318086</v>
      </c>
      <c r="I461" s="18">
        <v>0.19963475225509644</v>
      </c>
      <c r="K461" s="18">
        <v>17.172220230102539</v>
      </c>
      <c r="L461" s="18">
        <v>0.24342961287589968</v>
      </c>
      <c r="M461" s="18">
        <v>0.20196335294727313</v>
      </c>
    </row>
    <row r="462" spans="2:13">
      <c r="B462" s="18">
        <v>451</v>
      </c>
      <c r="C462" s="18">
        <v>8643.2180000000008</v>
      </c>
      <c r="D462" s="18">
        <v>5.172467397642622E-3</v>
      </c>
      <c r="E462" s="18">
        <v>3.8661276114862232E-3</v>
      </c>
      <c r="G462" s="18">
        <v>13552.093999999999</v>
      </c>
      <c r="H462" s="18">
        <v>0.19414768467150986</v>
      </c>
      <c r="I462" s="18">
        <v>0.19687382875729484</v>
      </c>
      <c r="K462" s="18">
        <v>17.178981781005859</v>
      </c>
      <c r="L462" s="18">
        <v>0.24117268252066298</v>
      </c>
      <c r="M462" s="18">
        <v>0.20016775523115959</v>
      </c>
    </row>
    <row r="463" spans="2:13">
      <c r="B463" s="18">
        <v>452</v>
      </c>
      <c r="C463" s="18">
        <v>8653.107</v>
      </c>
      <c r="D463" s="18">
        <v>4.6303513270725448E-3</v>
      </c>
      <c r="E463" s="18">
        <v>3.6863793054972183E-3</v>
      </c>
      <c r="G463" s="18">
        <v>13575.35</v>
      </c>
      <c r="H463" s="18">
        <v>0.19189075431627317</v>
      </c>
      <c r="I463" s="18">
        <v>0.18825847404083088</v>
      </c>
      <c r="K463" s="18">
        <v>17.18211555480957</v>
      </c>
      <c r="L463" s="18">
        <v>0.23996533948899199</v>
      </c>
      <c r="M463" s="18">
        <v>0.19933780910044946</v>
      </c>
    </row>
    <row r="464" spans="2:13">
      <c r="B464" s="18">
        <v>453</v>
      </c>
      <c r="C464" s="18">
        <v>8655.5169999999998</v>
      </c>
      <c r="D464" s="18">
        <v>4.6221882665771563E-3</v>
      </c>
      <c r="E464" s="18">
        <v>3.6436551287305592E-3</v>
      </c>
      <c r="G464" s="18">
        <v>13579.243</v>
      </c>
      <c r="H464" s="18">
        <v>0.18963382396103648</v>
      </c>
      <c r="I464" s="18">
        <v>0.18683273514462495</v>
      </c>
      <c r="K464" s="18">
        <v>17.182989120483398</v>
      </c>
      <c r="L464" s="18">
        <v>0.23875799645732099</v>
      </c>
      <c r="M464" s="18">
        <v>0.19910671094912202</v>
      </c>
    </row>
    <row r="465" spans="2:13">
      <c r="B465" s="18">
        <v>454</v>
      </c>
      <c r="C465" s="18">
        <v>8655.7440000000006</v>
      </c>
      <c r="D465" s="18">
        <v>4.4841942233515078E-3</v>
      </c>
      <c r="E465" s="18">
        <v>3.6396524565455992E-3</v>
      </c>
      <c r="G465" s="18">
        <v>13581.291999999999</v>
      </c>
      <c r="H465" s="18">
        <v>0.18737689360579979</v>
      </c>
      <c r="I465" s="18">
        <v>0.18608425429346487</v>
      </c>
      <c r="K465" s="18">
        <v>17.184160232543945</v>
      </c>
      <c r="L465" s="18">
        <v>0.23526120582436971</v>
      </c>
      <c r="M465" s="18">
        <v>0.19879707385899112</v>
      </c>
    </row>
    <row r="466" spans="2:13">
      <c r="B466" s="18">
        <v>455</v>
      </c>
      <c r="C466" s="18">
        <v>8656.6949999999997</v>
      </c>
      <c r="D466" s="18">
        <v>4.4396633355486209E-3</v>
      </c>
      <c r="E466" s="18">
        <v>3.62292374170724E-3</v>
      </c>
      <c r="G466" s="18">
        <v>13592.626</v>
      </c>
      <c r="H466" s="18">
        <v>0.18388010297284851</v>
      </c>
      <c r="I466" s="18">
        <v>0.18196829220568231</v>
      </c>
      <c r="K466" s="18">
        <v>17.200820922851563</v>
      </c>
      <c r="L466" s="18">
        <v>0.23176441519141844</v>
      </c>
      <c r="M466" s="18">
        <v>0.19441404321702924</v>
      </c>
    </row>
    <row r="467" spans="2:13">
      <c r="B467" s="18">
        <v>456</v>
      </c>
      <c r="C467" s="18">
        <v>8665.4860000000008</v>
      </c>
      <c r="D467" s="18">
        <v>4.3016692923229724E-3</v>
      </c>
      <c r="E467" s="18">
        <v>3.4713246753137993E-3</v>
      </c>
      <c r="G467" s="18">
        <v>13597.291999999999</v>
      </c>
      <c r="H467" s="18">
        <v>0.18267275994117751</v>
      </c>
      <c r="I467" s="18">
        <v>0.18028587675596697</v>
      </c>
      <c r="K467" s="18">
        <v>17.201421737670898</v>
      </c>
      <c r="L467" s="18">
        <v>0.22950748483618175</v>
      </c>
      <c r="M467" s="18">
        <v>0.19425675695631855</v>
      </c>
    </row>
    <row r="468" spans="2:13">
      <c r="B468" s="18">
        <v>457</v>
      </c>
      <c r="C468" s="18">
        <v>8665.6290000000008</v>
      </c>
      <c r="D468" s="18">
        <v>4.2935062318275839E-3</v>
      </c>
      <c r="E468" s="18">
        <v>3.4689035530968059E-3</v>
      </c>
      <c r="G468" s="18">
        <v>13598.565000000001</v>
      </c>
      <c r="H468" s="18">
        <v>0.18041582958594082</v>
      </c>
      <c r="I468" s="18">
        <v>0.17982810398523433</v>
      </c>
      <c r="K468" s="18">
        <v>17.209516525268555</v>
      </c>
      <c r="L468" s="18">
        <v>0.22725055448094506</v>
      </c>
      <c r="M468" s="18">
        <v>0.19214294708192742</v>
      </c>
    </row>
    <row r="469" spans="2:13">
      <c r="B469" s="18">
        <v>458</v>
      </c>
      <c r="C469" s="18">
        <v>8667.7729999999992</v>
      </c>
      <c r="D469" s="18">
        <v>4.2489753440246971E-3</v>
      </c>
      <c r="E469" s="18">
        <v>3.4327739076403241E-3</v>
      </c>
      <c r="G469" s="18">
        <v>13600.001</v>
      </c>
      <c r="H469" s="18">
        <v>0.17920848655426982</v>
      </c>
      <c r="I469" s="18">
        <v>0.17931235239140408</v>
      </c>
      <c r="K469" s="18">
        <v>17.210962295532227</v>
      </c>
      <c r="L469" s="18">
        <v>0.22375376384799378</v>
      </c>
      <c r="M469" s="18">
        <v>0.19176645505843501</v>
      </c>
    </row>
    <row r="470" spans="2:13">
      <c r="B470" s="18">
        <v>459</v>
      </c>
      <c r="C470" s="18">
        <v>8668.2860000000001</v>
      </c>
      <c r="D470" s="18">
        <v>4.2408122835293086E-3</v>
      </c>
      <c r="E470" s="18">
        <v>3.4241762689882983E-3</v>
      </c>
      <c r="G470" s="18">
        <v>13606.163</v>
      </c>
      <c r="H470" s="18">
        <v>0.17695155619903313</v>
      </c>
      <c r="I470" s="18">
        <v>0.17710691041203916</v>
      </c>
      <c r="K470" s="18">
        <v>17.211360931396484</v>
      </c>
      <c r="L470" s="18">
        <v>0.22254642081632278</v>
      </c>
      <c r="M470" s="18">
        <v>0.19166270252078971</v>
      </c>
    </row>
    <row r="471" spans="2:13">
      <c r="B471" s="18">
        <v>460</v>
      </c>
      <c r="C471" s="18">
        <v>8683.5159999999996</v>
      </c>
      <c r="D471" s="18">
        <v>3.6986962129592314E-3</v>
      </c>
      <c r="E471" s="18">
        <v>3.1770726045469654E-3</v>
      </c>
      <c r="G471" s="18">
        <v>13607.323</v>
      </c>
      <c r="H471" s="18">
        <v>0.17469462584379644</v>
      </c>
      <c r="I471" s="18">
        <v>0.17669313655544697</v>
      </c>
      <c r="K471" s="18">
        <v>17.227210998535156</v>
      </c>
      <c r="L471" s="18">
        <v>0.22028949046108609</v>
      </c>
      <c r="M471" s="18">
        <v>0.18755716657362609</v>
      </c>
    </row>
    <row r="472" spans="2:13">
      <c r="B472" s="18">
        <v>461</v>
      </c>
      <c r="C472" s="18">
        <v>8684.5239999999994</v>
      </c>
      <c r="D472" s="18">
        <v>3.6541653251563446E-3</v>
      </c>
      <c r="E472" s="18">
        <v>3.161264045226729E-3</v>
      </c>
      <c r="G472" s="18">
        <v>13607.352999999999</v>
      </c>
      <c r="H472" s="18">
        <v>0.17119783521084517</v>
      </c>
      <c r="I472" s="18">
        <v>0.17668244142183354</v>
      </c>
      <c r="K472" s="18">
        <v>17.231103897094727</v>
      </c>
      <c r="L472" s="18">
        <v>0.21679269982813482</v>
      </c>
      <c r="M472" s="18">
        <v>0.18655475695398607</v>
      </c>
    </row>
    <row r="473" spans="2:13">
      <c r="B473" s="18">
        <v>462</v>
      </c>
      <c r="C473" s="18">
        <v>8684.5779999999995</v>
      </c>
      <c r="D473" s="18">
        <v>3.6096344373534577E-3</v>
      </c>
      <c r="E473" s="18">
        <v>3.160419037730039E-3</v>
      </c>
      <c r="G473" s="18">
        <v>13610.013999999999</v>
      </c>
      <c r="H473" s="18">
        <v>0.16770104457789389</v>
      </c>
      <c r="I473" s="18">
        <v>0.17573497170132493</v>
      </c>
      <c r="K473" s="18">
        <v>17.233301162719727</v>
      </c>
      <c r="L473" s="18">
        <v>0.21329590919518354</v>
      </c>
      <c r="M473" s="18">
        <v>0.18599001149567246</v>
      </c>
    </row>
    <row r="474" spans="2:13">
      <c r="B474" s="18">
        <v>463</v>
      </c>
      <c r="C474" s="18">
        <v>8694.4439999999995</v>
      </c>
      <c r="D474" s="18">
        <v>3.6014713768580692E-3</v>
      </c>
      <c r="E474" s="18">
        <v>3.0092029145024858E-3</v>
      </c>
      <c r="G474" s="18">
        <v>13620.55</v>
      </c>
      <c r="H474" s="18">
        <v>0.16649370154622289</v>
      </c>
      <c r="I474" s="18">
        <v>0.17200678018679116</v>
      </c>
      <c r="K474" s="18">
        <v>17.235904693603516</v>
      </c>
      <c r="L474" s="18">
        <v>0.21103897883994685</v>
      </c>
      <c r="M474" s="18">
        <v>0.1853218253197218</v>
      </c>
    </row>
    <row r="475" spans="2:13">
      <c r="B475" s="18">
        <v>464</v>
      </c>
      <c r="C475" s="18">
        <v>8705.9740000000002</v>
      </c>
      <c r="D475" s="18">
        <v>3.5933083163626808E-3</v>
      </c>
      <c r="E475" s="18">
        <v>2.840287430549618E-3</v>
      </c>
      <c r="G475" s="18">
        <v>13636.172</v>
      </c>
      <c r="H475" s="18">
        <v>0.1642367711909862</v>
      </c>
      <c r="I475" s="18">
        <v>0.16654813672434104</v>
      </c>
      <c r="K475" s="18">
        <v>17.249366760253906</v>
      </c>
      <c r="L475" s="18">
        <v>0.20878204848471016</v>
      </c>
      <c r="M475" s="18">
        <v>0.18188388993200064</v>
      </c>
    </row>
    <row r="476" spans="2:13">
      <c r="B476" s="18">
        <v>465</v>
      </c>
      <c r="C476" s="18">
        <v>8714.0210000000006</v>
      </c>
      <c r="D476" s="18">
        <v>3.4553142731370322E-3</v>
      </c>
      <c r="E476" s="18">
        <v>2.7272221875448044E-3</v>
      </c>
      <c r="G476" s="18">
        <v>13638.35</v>
      </c>
      <c r="H476" s="18">
        <v>0.16073998055803493</v>
      </c>
      <c r="I476" s="18">
        <v>0.16579375650177813</v>
      </c>
      <c r="K476" s="18">
        <v>17.25505256652832</v>
      </c>
      <c r="L476" s="18">
        <v>0.20528525785175888</v>
      </c>
      <c r="M476" s="18">
        <v>0.18044050881976464</v>
      </c>
    </row>
    <row r="477" spans="2:13">
      <c r="B477" s="18">
        <v>466</v>
      </c>
      <c r="C477" s="18">
        <v>8716.9040000000005</v>
      </c>
      <c r="D477" s="18">
        <v>3.4107833853341454E-3</v>
      </c>
      <c r="E477" s="18">
        <v>2.6876552006463682E-3</v>
      </c>
      <c r="G477" s="18">
        <v>13653.915999999999</v>
      </c>
      <c r="H477" s="18">
        <v>0.15953263752636393</v>
      </c>
      <c r="I477" s="18">
        <v>0.16045040312192818</v>
      </c>
      <c r="K477" s="18">
        <v>17.265625</v>
      </c>
      <c r="L477" s="18">
        <v>0.20302832749652219</v>
      </c>
      <c r="M477" s="18">
        <v>0.17777044771590531</v>
      </c>
    </row>
    <row r="478" spans="2:13">
      <c r="B478" s="18">
        <v>467</v>
      </c>
      <c r="C478" s="18">
        <v>8722.4009999999998</v>
      </c>
      <c r="D478" s="18">
        <v>3.3662524975312585E-3</v>
      </c>
      <c r="E478" s="18">
        <v>2.6135632476050196E-3</v>
      </c>
      <c r="G478" s="18">
        <v>13662.46</v>
      </c>
      <c r="H478" s="18">
        <v>0.15727570717112724</v>
      </c>
      <c r="I478" s="18">
        <v>0.15755381259801263</v>
      </c>
      <c r="K478" s="18">
        <v>17.2667236328125</v>
      </c>
      <c r="L478" s="18">
        <v>0.19953153686357092</v>
      </c>
      <c r="M478" s="18">
        <v>0.17749402665172437</v>
      </c>
    </row>
    <row r="479" spans="2:13">
      <c r="B479" s="18">
        <v>468</v>
      </c>
      <c r="C479" s="18">
        <v>8724.1110000000008</v>
      </c>
      <c r="D479" s="18">
        <v>3.35808943703587E-3</v>
      </c>
      <c r="E479" s="18">
        <v>2.5908719253914764E-3</v>
      </c>
      <c r="G479" s="18">
        <v>13665.522999999999</v>
      </c>
      <c r="H479" s="18">
        <v>0.15606836413945624</v>
      </c>
      <c r="I479" s="18">
        <v>0.15652173183923138</v>
      </c>
      <c r="K479" s="18">
        <v>17.266748428344727</v>
      </c>
      <c r="L479" s="18">
        <v>0.19603474623061964</v>
      </c>
      <c r="M479" s="18">
        <v>0.17748779024651459</v>
      </c>
    </row>
    <row r="480" spans="2:13">
      <c r="B480" s="18">
        <v>469</v>
      </c>
      <c r="C480" s="18">
        <v>8728.2630000000008</v>
      </c>
      <c r="D480" s="18">
        <v>3.3499263765404816E-3</v>
      </c>
      <c r="E480" s="18">
        <v>2.536471996963567E-3</v>
      </c>
      <c r="G480" s="18">
        <v>13680.753000000001</v>
      </c>
      <c r="H480" s="18">
        <v>0.15381143378421955</v>
      </c>
      <c r="I480" s="18">
        <v>0.15144017571002621</v>
      </c>
      <c r="K480" s="18">
        <v>17.27092170715332</v>
      </c>
      <c r="L480" s="18">
        <v>0.19253795559766837</v>
      </c>
      <c r="M480" s="18">
        <v>0.17643958236345453</v>
      </c>
    </row>
    <row r="481" spans="2:13">
      <c r="B481" s="18">
        <v>470</v>
      </c>
      <c r="C481" s="18">
        <v>8729.9629999999997</v>
      </c>
      <c r="D481" s="18">
        <v>3.3053954887375947E-3</v>
      </c>
      <c r="E481" s="18">
        <v>2.514480535248549E-3</v>
      </c>
      <c r="G481" s="18">
        <v>13684.563</v>
      </c>
      <c r="H481" s="18">
        <v>0.15155450342898286</v>
      </c>
      <c r="I481" s="18">
        <v>0.15018213684229192</v>
      </c>
      <c r="K481" s="18">
        <v>17.289085388183594</v>
      </c>
      <c r="L481" s="18">
        <v>0.1890411649647171</v>
      </c>
      <c r="M481" s="18">
        <v>0.17191070293095731</v>
      </c>
    </row>
    <row r="482" spans="2:13">
      <c r="B482" s="18">
        <v>471</v>
      </c>
      <c r="C482" s="18">
        <v>8730.2420000000002</v>
      </c>
      <c r="D482" s="18">
        <v>3.1674014455119462E-3</v>
      </c>
      <c r="E482" s="18">
        <v>2.5108868957810131E-3</v>
      </c>
      <c r="G482" s="18">
        <v>13692.834000000001</v>
      </c>
      <c r="H482" s="18">
        <v>0.15034716039731186</v>
      </c>
      <c r="I482" s="18">
        <v>0.14746944801972017</v>
      </c>
      <c r="K482" s="18">
        <v>17.291040420532227</v>
      </c>
      <c r="L482" s="18">
        <v>0.18554437433176582</v>
      </c>
      <c r="M482" s="18">
        <v>0.17142649857668699</v>
      </c>
    </row>
    <row r="483" spans="2:13">
      <c r="B483" s="18">
        <v>472</v>
      </c>
      <c r="C483" s="18">
        <v>8731.4330000000009</v>
      </c>
      <c r="D483" s="18">
        <v>3.1592383850165577E-3</v>
      </c>
      <c r="E483" s="18">
        <v>2.4955954255225375E-3</v>
      </c>
      <c r="G483" s="18">
        <v>13709.989</v>
      </c>
      <c r="H483" s="18">
        <v>0.14809023004207517</v>
      </c>
      <c r="I483" s="18">
        <v>0.14192393061235578</v>
      </c>
      <c r="K483" s="18">
        <v>17.293363571166992</v>
      </c>
      <c r="L483" s="18">
        <v>0.18204758369881455</v>
      </c>
      <c r="M483" s="18">
        <v>0.17085195171039813</v>
      </c>
    </row>
    <row r="484" spans="2:13">
      <c r="B484" s="18">
        <v>473</v>
      </c>
      <c r="C484" s="18">
        <v>8733.8320000000003</v>
      </c>
      <c r="D484" s="18">
        <v>3.1510753245211692E-3</v>
      </c>
      <c r="E484" s="18">
        <v>2.4650347754617873E-3</v>
      </c>
      <c r="G484" s="18">
        <v>13713.004999999999</v>
      </c>
      <c r="H484" s="18">
        <v>0.14583329968683847</v>
      </c>
      <c r="I484" s="18">
        <v>0.14096037344989007</v>
      </c>
      <c r="K484" s="18">
        <v>17.293672561645508</v>
      </c>
      <c r="L484" s="18">
        <v>0.17855079306586327</v>
      </c>
      <c r="M484" s="18">
        <v>0.17077560214254248</v>
      </c>
    </row>
    <row r="485" spans="2:13">
      <c r="B485" s="18">
        <v>474</v>
      </c>
      <c r="C485" s="18">
        <v>8736.0990000000002</v>
      </c>
      <c r="D485" s="18">
        <v>3.1429122640257807E-3</v>
      </c>
      <c r="E485" s="18">
        <v>2.436449125495746E-3</v>
      </c>
      <c r="G485" s="18">
        <v>13714.049000000001</v>
      </c>
      <c r="H485" s="18">
        <v>0.14357636933160178</v>
      </c>
      <c r="I485" s="18">
        <v>0.14062763375792681</v>
      </c>
      <c r="K485" s="18">
        <v>17.303129196166992</v>
      </c>
      <c r="L485" s="18">
        <v>0.175054002432912</v>
      </c>
      <c r="M485" s="18">
        <v>0.16844668086814765</v>
      </c>
    </row>
    <row r="486" spans="2:13">
      <c r="B486" s="18">
        <v>475</v>
      </c>
      <c r="C486" s="18">
        <v>8752.4040000000005</v>
      </c>
      <c r="D486" s="18">
        <v>3.0983813762228939E-3</v>
      </c>
      <c r="E486" s="18">
        <v>2.2390515745056333E-3</v>
      </c>
      <c r="G486" s="18">
        <v>13717.191000000001</v>
      </c>
      <c r="H486" s="18">
        <v>0.14007957869865051</v>
      </c>
      <c r="I486" s="18">
        <v>0.13962871344974143</v>
      </c>
      <c r="K486" s="18">
        <v>17.303516387939453</v>
      </c>
      <c r="L486" s="18">
        <v>0.17279707207767531</v>
      </c>
      <c r="M486" s="18">
        <v>0.16835164673519057</v>
      </c>
    </row>
    <row r="487" spans="2:13">
      <c r="B487" s="18">
        <v>476</v>
      </c>
      <c r="C487" s="18">
        <v>8756.7199999999993</v>
      </c>
      <c r="D487" s="18">
        <v>2.9603873329972453E-3</v>
      </c>
      <c r="E487" s="18">
        <v>2.1891459248618425E-3</v>
      </c>
      <c r="G487" s="18">
        <v>13718.061</v>
      </c>
      <c r="H487" s="18">
        <v>0.13658278806569923</v>
      </c>
      <c r="I487" s="18">
        <v>0.13935277947847433</v>
      </c>
      <c r="K487" s="18">
        <v>17.305644989013672</v>
      </c>
      <c r="L487" s="18">
        <v>0.17054014172243862</v>
      </c>
      <c r="M487" s="18">
        <v>0.16782964596352445</v>
      </c>
    </row>
    <row r="488" spans="2:13">
      <c r="B488" s="18">
        <v>477</v>
      </c>
      <c r="C488" s="18">
        <v>8763.2289999999994</v>
      </c>
      <c r="D488" s="18">
        <v>2.8223932897715968E-3</v>
      </c>
      <c r="E488" s="18">
        <v>2.1156815149981556E-3</v>
      </c>
      <c r="G488" s="18">
        <v>13727.578</v>
      </c>
      <c r="H488" s="18">
        <v>0.13432585771046254</v>
      </c>
      <c r="I488" s="18">
        <v>0.13635310684644925</v>
      </c>
      <c r="K488" s="18">
        <v>17.30859375</v>
      </c>
      <c r="L488" s="18">
        <v>0.16828321136720192</v>
      </c>
      <c r="M488" s="18">
        <v>0.16710778432899767</v>
      </c>
    </row>
    <row r="489" spans="2:13">
      <c r="B489" s="18">
        <v>478</v>
      </c>
      <c r="C489" s="18">
        <v>8764.6450000000004</v>
      </c>
      <c r="D489" s="18">
        <v>2.8142302292762083E-3</v>
      </c>
      <c r="E489" s="18">
        <v>2.0999820340841741E-3</v>
      </c>
      <c r="G489" s="18">
        <v>13742.288</v>
      </c>
      <c r="H489" s="18">
        <v>0.13082906707751127</v>
      </c>
      <c r="I489" s="18">
        <v>0.13178489515269137</v>
      </c>
      <c r="K489" s="18">
        <v>17.309846878051758</v>
      </c>
      <c r="L489" s="18">
        <v>0.16602628101196523</v>
      </c>
      <c r="M489" s="18">
        <v>0.16680146351694972</v>
      </c>
    </row>
    <row r="490" spans="2:13">
      <c r="B490" s="18">
        <v>479</v>
      </c>
      <c r="C490" s="18">
        <v>8775.3379999999997</v>
      </c>
      <c r="D490" s="18">
        <v>2.8060671687808198E-3</v>
      </c>
      <c r="E490" s="18">
        <v>1.9846123314614353E-3</v>
      </c>
      <c r="G490" s="18">
        <v>13744.003000000001</v>
      </c>
      <c r="H490" s="18">
        <v>0.12733227644455999</v>
      </c>
      <c r="I490" s="18">
        <v>0.13125773361527623</v>
      </c>
      <c r="K490" s="18">
        <v>17.313142776489258</v>
      </c>
      <c r="L490" s="18">
        <v>0.16252949037901396</v>
      </c>
      <c r="M490" s="18">
        <v>0.16599707383478726</v>
      </c>
    </row>
    <row r="491" spans="2:13">
      <c r="B491" s="18">
        <v>480</v>
      </c>
      <c r="C491" s="18">
        <v>8779.8619999999992</v>
      </c>
      <c r="D491" s="18">
        <v>2.2639510982107426E-3</v>
      </c>
      <c r="E491" s="18">
        <v>1.9374617843897915E-3</v>
      </c>
      <c r="G491" s="18">
        <v>13744.11</v>
      </c>
      <c r="H491" s="18">
        <v>0.12383548581160871</v>
      </c>
      <c r="I491" s="18">
        <v>0.13122488143261032</v>
      </c>
      <c r="K491" s="18">
        <v>17.316106796264648</v>
      </c>
      <c r="L491" s="18">
        <v>0.16132214734734296</v>
      </c>
      <c r="M491" s="18">
        <v>0.16527526467873821</v>
      </c>
    </row>
    <row r="492" spans="2:13">
      <c r="B492" s="18">
        <v>481</v>
      </c>
      <c r="C492" s="18">
        <v>8780.4259999999995</v>
      </c>
      <c r="D492" s="18">
        <v>2.2557880377153542E-3</v>
      </c>
      <c r="E492" s="18">
        <v>1.9316514837816219E-3</v>
      </c>
      <c r="G492" s="18">
        <v>13763.842000000001</v>
      </c>
      <c r="H492" s="18">
        <v>0.12033869517865743</v>
      </c>
      <c r="I492" s="18">
        <v>0.1252428535655366</v>
      </c>
      <c r="K492" s="18">
        <v>17.318729400634766</v>
      </c>
      <c r="L492" s="18">
        <v>0.15782535671439168</v>
      </c>
      <c r="M492" s="18">
        <v>0.16463785181752807</v>
      </c>
    </row>
    <row r="493" spans="2:13">
      <c r="B493" s="18">
        <v>482</v>
      </c>
      <c r="C493" s="18">
        <v>8782.0609999999997</v>
      </c>
      <c r="D493" s="18">
        <v>2.2476249772199657E-3</v>
      </c>
      <c r="E493" s="18">
        <v>1.9148921499259595E-3</v>
      </c>
      <c r="G493" s="18">
        <v>13770.76</v>
      </c>
      <c r="H493" s="18">
        <v>0.11913135214698643</v>
      </c>
      <c r="I493" s="18">
        <v>0.12318173082322516</v>
      </c>
      <c r="K493" s="18">
        <v>17.326198577880859</v>
      </c>
      <c r="L493" s="18">
        <v>0.15556842635915499</v>
      </c>
      <c r="M493" s="18">
        <v>0.16282897582455624</v>
      </c>
    </row>
    <row r="494" spans="2:13">
      <c r="B494" s="18">
        <v>483</v>
      </c>
      <c r="C494" s="18">
        <v>8790.1589999999997</v>
      </c>
      <c r="D494" s="18">
        <v>2.2394619167245772E-3</v>
      </c>
      <c r="E494" s="18">
        <v>1.83371089145567E-3</v>
      </c>
      <c r="G494" s="18">
        <v>13771.268</v>
      </c>
      <c r="H494" s="18">
        <v>0.11792400911531543</v>
      </c>
      <c r="I494" s="18">
        <v>0.12303112395306624</v>
      </c>
      <c r="K494" s="18">
        <v>17.335199356079102</v>
      </c>
      <c r="L494" s="18">
        <v>0.15207163572620372</v>
      </c>
      <c r="M494" s="18">
        <v>0.16066199061736544</v>
      </c>
    </row>
    <row r="495" spans="2:13">
      <c r="B495" s="18">
        <v>484</v>
      </c>
      <c r="C495" s="18">
        <v>8792.875</v>
      </c>
      <c r="D495" s="18">
        <v>2.2312988562291887E-3</v>
      </c>
      <c r="E495" s="18">
        <v>1.8071535439251718E-3</v>
      </c>
      <c r="G495" s="18">
        <v>13789.163</v>
      </c>
      <c r="H495" s="18">
        <v>0.11738189304474536</v>
      </c>
      <c r="I495" s="18">
        <v>0.11779116198179305</v>
      </c>
      <c r="K495" s="18">
        <v>17.339971542358398</v>
      </c>
      <c r="L495" s="18">
        <v>0.14857484509325244</v>
      </c>
      <c r="M495" s="18">
        <v>0.15951877903624517</v>
      </c>
    </row>
    <row r="496" spans="2:13">
      <c r="B496" s="18">
        <v>485</v>
      </c>
      <c r="C496" s="18">
        <v>8803.2039999999997</v>
      </c>
      <c r="D496" s="18">
        <v>2.0933048130035402E-3</v>
      </c>
      <c r="E496" s="18">
        <v>1.7091504207805239E-3</v>
      </c>
      <c r="G496" s="18">
        <v>13790.116</v>
      </c>
      <c r="H496" s="18">
        <v>0.11512496268950867</v>
      </c>
      <c r="I496" s="18">
        <v>0.1175156872397943</v>
      </c>
      <c r="K496" s="18">
        <v>17.342826843261719</v>
      </c>
      <c r="L496" s="18">
        <v>0.14507805446030117</v>
      </c>
      <c r="M496" s="18">
        <v>0.15883667520016673</v>
      </c>
    </row>
    <row r="497" spans="2:13">
      <c r="B497" s="18">
        <v>486</v>
      </c>
      <c r="C497" s="18">
        <v>8812.0720000000001</v>
      </c>
      <c r="D497" s="18">
        <v>2.0851417525081517E-3</v>
      </c>
      <c r="E497" s="18">
        <v>1.6286914612162811E-3</v>
      </c>
      <c r="G497" s="18">
        <v>13790.882</v>
      </c>
      <c r="H497" s="18">
        <v>0.11391761965783767</v>
      </c>
      <c r="I497" s="18">
        <v>0.1172945302926932</v>
      </c>
      <c r="K497" s="18">
        <v>17.353500366210938</v>
      </c>
      <c r="L497" s="18">
        <v>0.14282112410506448</v>
      </c>
      <c r="M497" s="18">
        <v>0.15629956639452325</v>
      </c>
    </row>
    <row r="498" spans="2:13">
      <c r="B498" s="18">
        <v>487</v>
      </c>
      <c r="C498" s="18">
        <v>8814.3320000000003</v>
      </c>
      <c r="D498" s="18">
        <v>2.0406108647052648E-3</v>
      </c>
      <c r="E498" s="18">
        <v>1.6087159913464591E-3</v>
      </c>
      <c r="G498" s="18">
        <v>13793.177</v>
      </c>
      <c r="H498" s="18">
        <v>0.11271027662616667</v>
      </c>
      <c r="I498" s="18">
        <v>0.11663333228582029</v>
      </c>
      <c r="K498" s="18">
        <v>17.359725952148438</v>
      </c>
      <c r="L498" s="18">
        <v>0.14056419374982779</v>
      </c>
      <c r="M498" s="18">
        <v>0.15482903816295229</v>
      </c>
    </row>
    <row r="499" spans="2:13">
      <c r="B499" s="18">
        <v>488</v>
      </c>
      <c r="C499" s="18">
        <v>8818.0010000000002</v>
      </c>
      <c r="D499" s="18">
        <v>1.9026168214796163E-3</v>
      </c>
      <c r="E499" s="18">
        <v>1.576736188017456E-3</v>
      </c>
      <c r="G499" s="18">
        <v>13804.867</v>
      </c>
      <c r="H499" s="18">
        <v>0.11150293359449567</v>
      </c>
      <c r="I499" s="18">
        <v>0.113298225570615</v>
      </c>
      <c r="K499" s="18">
        <v>17.374002456665039</v>
      </c>
      <c r="L499" s="18">
        <v>0.1383072633945911</v>
      </c>
      <c r="M499" s="18">
        <v>0.15148292937578367</v>
      </c>
    </row>
    <row r="500" spans="2:13">
      <c r="B500" s="18">
        <v>489</v>
      </c>
      <c r="C500" s="18">
        <v>8821.8619999999992</v>
      </c>
      <c r="D500" s="18">
        <v>1.8944537609842278E-3</v>
      </c>
      <c r="E500" s="18">
        <v>1.5436760442302422E-3</v>
      </c>
      <c r="G500" s="18">
        <v>13816.027</v>
      </c>
      <c r="H500" s="18">
        <v>0.10924600323925898</v>
      </c>
      <c r="I500" s="18">
        <v>0.11016575322390046</v>
      </c>
      <c r="K500" s="18">
        <v>17.384355545043945</v>
      </c>
      <c r="L500" s="18">
        <v>0.13481047276163982</v>
      </c>
      <c r="M500" s="18">
        <v>0.14907931969861712</v>
      </c>
    </row>
    <row r="501" spans="2:13">
      <c r="B501" s="18">
        <v>490</v>
      </c>
      <c r="C501" s="18">
        <v>8824.6080000000002</v>
      </c>
      <c r="D501" s="18">
        <v>1.8862907004888393E-3</v>
      </c>
      <c r="E501" s="18">
        <v>1.5205285097570555E-3</v>
      </c>
      <c r="G501" s="18">
        <v>13818.602000000001</v>
      </c>
      <c r="H501" s="18">
        <v>0.10698907288402229</v>
      </c>
      <c r="I501" s="18">
        <v>0.10945014543923368</v>
      </c>
      <c r="K501" s="18">
        <v>17.384624481201172</v>
      </c>
      <c r="L501" s="18">
        <v>0.13255354240640313</v>
      </c>
      <c r="M501" s="18">
        <v>0.14901714115871689</v>
      </c>
    </row>
    <row r="502" spans="2:13">
      <c r="B502" s="18">
        <v>491</v>
      </c>
      <c r="C502" s="18">
        <v>8827.4240000000009</v>
      </c>
      <c r="D502" s="18">
        <v>1.8781276399934509E-3</v>
      </c>
      <c r="E502" s="18">
        <v>1.4971024963695216E-3</v>
      </c>
      <c r="G502" s="18">
        <v>13819.703</v>
      </c>
      <c r="H502" s="18">
        <v>0.10349228225107102</v>
      </c>
      <c r="I502" s="18">
        <v>0.10914499251368338</v>
      </c>
      <c r="K502" s="18">
        <v>17.434015274047852</v>
      </c>
      <c r="L502" s="18">
        <v>0.12905675177345186</v>
      </c>
      <c r="M502" s="18">
        <v>0.13782332599206154</v>
      </c>
    </row>
    <row r="503" spans="2:13">
      <c r="B503" s="18">
        <v>492</v>
      </c>
      <c r="C503" s="18">
        <v>8839.7549999999992</v>
      </c>
      <c r="D503" s="18">
        <v>1.8699645794980624E-3</v>
      </c>
      <c r="E503" s="18">
        <v>1.3981532398874724E-3</v>
      </c>
      <c r="G503" s="18">
        <v>13833.516</v>
      </c>
      <c r="H503" s="18">
        <v>9.9995491618119742E-2</v>
      </c>
      <c r="I503" s="18">
        <v>0.10535850410740315</v>
      </c>
      <c r="K503" s="18">
        <v>17.434244155883789</v>
      </c>
      <c r="L503" s="18">
        <v>0.12679982141821516</v>
      </c>
      <c r="M503" s="18">
        <v>0.13777250898533741</v>
      </c>
    </row>
    <row r="504" spans="2:13">
      <c r="B504" s="18">
        <v>493</v>
      </c>
      <c r="C504" s="18">
        <v>8839.8420000000006</v>
      </c>
      <c r="D504" s="18">
        <v>1.7319705362724136E-3</v>
      </c>
      <c r="E504" s="18">
        <v>1.397475705451328E-3</v>
      </c>
      <c r="G504" s="18">
        <v>13834.749</v>
      </c>
      <c r="H504" s="18">
        <v>9.773856126288305E-2</v>
      </c>
      <c r="I504" s="18">
        <v>0.10502429132127997</v>
      </c>
      <c r="K504" s="18">
        <v>17.447946548461914</v>
      </c>
      <c r="L504" s="18">
        <v>0.12330303078526389</v>
      </c>
      <c r="M504" s="18">
        <v>0.13474827088186833</v>
      </c>
    </row>
    <row r="505" spans="2:13">
      <c r="B505" s="18">
        <v>494</v>
      </c>
      <c r="C505" s="18">
        <v>8841.2720000000008</v>
      </c>
      <c r="D505" s="18">
        <v>1.687439648469527E-3</v>
      </c>
      <c r="E505" s="18">
        <v>1.3863798223175295E-3</v>
      </c>
      <c r="G505" s="18">
        <v>13835.694</v>
      </c>
      <c r="H505" s="18">
        <v>9.4241770629931776E-2</v>
      </c>
      <c r="I505" s="18">
        <v>0.10476856344231221</v>
      </c>
      <c r="K505" s="18">
        <v>17.471946716308594</v>
      </c>
      <c r="L505" s="18">
        <v>0.12209568775359289</v>
      </c>
      <c r="M505" s="18">
        <v>0.12953724961351573</v>
      </c>
    </row>
    <row r="506" spans="2:13">
      <c r="B506" s="18">
        <v>495</v>
      </c>
      <c r="C506" s="18">
        <v>8842.6769999999997</v>
      </c>
      <c r="D506" s="18">
        <v>1.5494456052438782E-3</v>
      </c>
      <c r="E506" s="18">
        <v>1.3755521903441061E-3</v>
      </c>
      <c r="G506" s="18">
        <v>13838.075000000001</v>
      </c>
      <c r="H506" s="18">
        <v>9.1984840274695084E-2</v>
      </c>
      <c r="I506" s="18">
        <v>0.10412585666882969</v>
      </c>
      <c r="K506" s="18">
        <v>17.472908020019531</v>
      </c>
      <c r="L506" s="18">
        <v>0.1198387573983562</v>
      </c>
      <c r="M506" s="18">
        <v>0.12933082594757014</v>
      </c>
    </row>
    <row r="507" spans="2:13">
      <c r="B507" s="18">
        <v>496</v>
      </c>
      <c r="C507" s="18">
        <v>8850.2890000000007</v>
      </c>
      <c r="D507" s="18">
        <v>1.5412825447484897E-3</v>
      </c>
      <c r="E507" s="18">
        <v>1.3181526520910534E-3</v>
      </c>
      <c r="G507" s="18">
        <v>13838.808000000001</v>
      </c>
      <c r="H507" s="18">
        <v>8.9727909919458393E-2</v>
      </c>
      <c r="I507" s="18">
        <v>0.10392846386126352</v>
      </c>
      <c r="K507" s="18">
        <v>17.481330871582031</v>
      </c>
      <c r="L507" s="18">
        <v>0.11758182704311951</v>
      </c>
      <c r="M507" s="18">
        <v>0.12752978146336819</v>
      </c>
    </row>
    <row r="508" spans="2:13">
      <c r="B508" s="18">
        <v>497</v>
      </c>
      <c r="C508" s="18">
        <v>8851.7990000000009</v>
      </c>
      <c r="D508" s="18">
        <v>1.403288501522841E-3</v>
      </c>
      <c r="E508" s="18">
        <v>1.3070160819229123E-3</v>
      </c>
      <c r="G508" s="18">
        <v>13871.127</v>
      </c>
      <c r="H508" s="18">
        <v>8.7470979564221701E-2</v>
      </c>
      <c r="I508" s="18">
        <v>9.5444487274209733E-2</v>
      </c>
      <c r="K508" s="18">
        <v>17.494550704956055</v>
      </c>
      <c r="L508" s="18">
        <v>0.11408503641016823</v>
      </c>
      <c r="M508" s="18">
        <v>0.12473070112369467</v>
      </c>
    </row>
    <row r="509" spans="2:13">
      <c r="B509" s="18">
        <v>498</v>
      </c>
      <c r="C509" s="18">
        <v>8854.6990000000005</v>
      </c>
      <c r="D509" s="18">
        <v>1.3587576137199543E-3</v>
      </c>
      <c r="E509" s="18">
        <v>1.2858562610851458E-3</v>
      </c>
      <c r="G509" s="18">
        <v>13874.834999999999</v>
      </c>
      <c r="H509" s="18">
        <v>8.521404920898501E-2</v>
      </c>
      <c r="I509" s="18">
        <v>9.4498633985684727E-2</v>
      </c>
      <c r="K509" s="18">
        <v>17.513036727905273</v>
      </c>
      <c r="L509" s="18">
        <v>0.11182810605493154</v>
      </c>
      <c r="M509" s="18">
        <v>0.12087371770719225</v>
      </c>
    </row>
    <row r="510" spans="2:13">
      <c r="B510" s="18">
        <v>499</v>
      </c>
      <c r="C510" s="18">
        <v>8859.0460000000003</v>
      </c>
      <c r="D510" s="18">
        <v>1.3142267259170677E-3</v>
      </c>
      <c r="E510" s="18">
        <v>1.2546942604096784E-3</v>
      </c>
      <c r="G510" s="18">
        <v>13905.437</v>
      </c>
      <c r="H510" s="18">
        <v>8.4006706177314011E-2</v>
      </c>
      <c r="I510" s="18">
        <v>8.6909827618828789E-2</v>
      </c>
      <c r="K510" s="18">
        <v>17.51746940612793</v>
      </c>
      <c r="L510" s="18">
        <v>0.10833131542198027</v>
      </c>
      <c r="M510" s="18">
        <v>0.11995882913012751</v>
      </c>
    </row>
    <row r="511" spans="2:13">
      <c r="B511" s="18">
        <v>500</v>
      </c>
      <c r="C511" s="18">
        <v>8863.7839999999997</v>
      </c>
      <c r="D511" s="18">
        <v>1.2696958381141811E-3</v>
      </c>
      <c r="E511" s="18">
        <v>1.2214767666437309E-3</v>
      </c>
      <c r="G511" s="18">
        <v>13915.754999999999</v>
      </c>
      <c r="H511" s="18">
        <v>8.174977582207732E-2</v>
      </c>
      <c r="I511" s="18">
        <v>8.4438652886253768E-2</v>
      </c>
      <c r="K511" s="18">
        <v>17.545696258544922</v>
      </c>
      <c r="L511" s="18">
        <v>0.10607438506674358</v>
      </c>
      <c r="M511" s="18">
        <v>0.11422398223806474</v>
      </c>
    </row>
    <row r="512" spans="2:13">
      <c r="B512" s="18">
        <v>501</v>
      </c>
      <c r="C512" s="18">
        <v>8870.7739999999994</v>
      </c>
      <c r="D512" s="18">
        <v>1.2251649503112944E-3</v>
      </c>
      <c r="E512" s="18">
        <v>1.1738639241699632E-3</v>
      </c>
      <c r="G512" s="18">
        <v>13917.136</v>
      </c>
      <c r="H512" s="18">
        <v>7.9492845466840628E-2</v>
      </c>
      <c r="I512" s="18">
        <v>8.4111253635669125E-2</v>
      </c>
      <c r="K512" s="18">
        <v>17.550369262695313</v>
      </c>
      <c r="L512" s="18">
        <v>0.1025775944337923</v>
      </c>
      <c r="M512" s="18">
        <v>0.11328983539094517</v>
      </c>
    </row>
    <row r="513" spans="2:13">
      <c r="B513" s="18">
        <v>502</v>
      </c>
      <c r="C513" s="18">
        <v>8871.652</v>
      </c>
      <c r="D513" s="18">
        <v>1.217001889815906E-3</v>
      </c>
      <c r="E513" s="18">
        <v>1.1679987820530384E-3</v>
      </c>
      <c r="G513" s="18">
        <v>13927.473</v>
      </c>
      <c r="H513" s="18">
        <v>7.5996054833889354E-2</v>
      </c>
      <c r="I513" s="18">
        <v>8.1685751408930668E-2</v>
      </c>
      <c r="K513" s="18">
        <v>17.555889129638672</v>
      </c>
      <c r="L513" s="18">
        <v>9.9080803800841027E-2</v>
      </c>
      <c r="M513" s="18">
        <v>0.11219201340794906</v>
      </c>
    </row>
    <row r="514" spans="2:13">
      <c r="B514" s="18">
        <v>503</v>
      </c>
      <c r="C514" s="18">
        <v>8876.8379999999997</v>
      </c>
      <c r="D514" s="18">
        <v>1.2088388293205175E-3</v>
      </c>
      <c r="E514" s="18">
        <v>1.1338718692022278E-3</v>
      </c>
      <c r="G514" s="18">
        <v>13928.281999999999</v>
      </c>
      <c r="H514" s="18">
        <v>7.3739124478652662E-2</v>
      </c>
      <c r="I514" s="18">
        <v>8.1497796129424482E-2</v>
      </c>
      <c r="K514" s="18">
        <v>17.557685852050781</v>
      </c>
      <c r="L514" s="18">
        <v>9.6823873445604336E-2</v>
      </c>
      <c r="M514" s="18">
        <v>0.11183598512050193</v>
      </c>
    </row>
    <row r="515" spans="2:13">
      <c r="B515" s="18">
        <v>504</v>
      </c>
      <c r="C515" s="18">
        <v>8885.3369999999995</v>
      </c>
      <c r="D515" s="18">
        <v>1.200675768825129E-3</v>
      </c>
      <c r="E515" s="18">
        <v>1.0798150589152141E-3</v>
      </c>
      <c r="G515" s="18">
        <v>13935.406999999999</v>
      </c>
      <c r="H515" s="18">
        <v>7.1482194123415971E-2</v>
      </c>
      <c r="I515" s="18">
        <v>7.9854166773204033E-2</v>
      </c>
      <c r="K515" s="18">
        <v>17.563262939453125</v>
      </c>
      <c r="L515" s="18">
        <v>9.4566943090367644E-2</v>
      </c>
      <c r="M515" s="18">
        <v>0.11073497785092348</v>
      </c>
    </row>
    <row r="516" spans="2:13">
      <c r="B516" s="18">
        <v>505</v>
      </c>
      <c r="C516" s="18">
        <v>8892.9590000000007</v>
      </c>
      <c r="D516" s="18">
        <v>1.1561448810222424E-3</v>
      </c>
      <c r="E516" s="18">
        <v>1.0332565800835237E-3</v>
      </c>
      <c r="G516" s="18">
        <v>13944.832</v>
      </c>
      <c r="H516" s="18">
        <v>6.9225263768179279E-2</v>
      </c>
      <c r="I516" s="18">
        <v>7.7712300178660917E-2</v>
      </c>
      <c r="K516" s="18">
        <v>17.573818206787109</v>
      </c>
      <c r="L516" s="18">
        <v>9.2310012735130953E-2</v>
      </c>
      <c r="M516" s="18">
        <v>0.10866827792838413</v>
      </c>
    </row>
    <row r="517" spans="2:13">
      <c r="B517" s="18">
        <v>506</v>
      </c>
      <c r="C517" s="18">
        <v>8895.6020000000008</v>
      </c>
      <c r="D517" s="18">
        <v>1.1116139932193557E-3</v>
      </c>
      <c r="E517" s="18">
        <v>1.017525111617165E-3</v>
      </c>
      <c r="G517" s="18">
        <v>13949.394</v>
      </c>
      <c r="H517" s="18">
        <v>6.8017920736508281E-2</v>
      </c>
      <c r="I517" s="18">
        <v>7.6688787799843103E-2</v>
      </c>
      <c r="K517" s="18">
        <v>17.589786529541016</v>
      </c>
      <c r="L517" s="18">
        <v>8.8813222102179679E-2</v>
      </c>
      <c r="M517" s="18">
        <v>0.10558434486879358</v>
      </c>
    </row>
    <row r="518" spans="2:13">
      <c r="B518" s="18">
        <v>507</v>
      </c>
      <c r="C518" s="18">
        <v>8901.1659999999993</v>
      </c>
      <c r="D518" s="18">
        <v>1.1034509327239672E-3</v>
      </c>
      <c r="E518" s="18">
        <v>9.8508766017565779E-4</v>
      </c>
      <c r="G518" s="18">
        <v>13971.482</v>
      </c>
      <c r="H518" s="18">
        <v>6.6810577704837282E-2</v>
      </c>
      <c r="I518" s="18">
        <v>7.1854943582431621E-2</v>
      </c>
      <c r="K518" s="18">
        <v>17.613492965698242</v>
      </c>
      <c r="L518" s="18">
        <v>8.6556291746942987E-2</v>
      </c>
      <c r="M518" s="18">
        <v>0.10110110243122838</v>
      </c>
    </row>
    <row r="519" spans="2:13">
      <c r="B519" s="18">
        <v>508</v>
      </c>
      <c r="C519" s="18">
        <v>8903.2620000000006</v>
      </c>
      <c r="D519" s="18">
        <v>1.0589200449210806E-3</v>
      </c>
      <c r="E519" s="18">
        <v>9.7310396084350384E-4</v>
      </c>
      <c r="G519" s="18">
        <v>13975.119000000001</v>
      </c>
      <c r="H519" s="18">
        <v>6.455364734960059E-2</v>
      </c>
      <c r="I519" s="18">
        <v>7.1078316193046151E-2</v>
      </c>
      <c r="K519" s="18">
        <v>17.614297866821289</v>
      </c>
      <c r="L519" s="18">
        <v>8.5348948715271988E-2</v>
      </c>
      <c r="M519" s="18">
        <v>0.10095088632565369</v>
      </c>
    </row>
    <row r="520" spans="2:13">
      <c r="B520" s="18">
        <v>509</v>
      </c>
      <c r="C520" s="18">
        <v>8905.3719999999994</v>
      </c>
      <c r="D520" s="18">
        <v>1.014389157118194E-3</v>
      </c>
      <c r="E520" s="18">
        <v>9.6116874168720578E-4</v>
      </c>
      <c r="G520" s="18">
        <v>13983.606</v>
      </c>
      <c r="H520" s="18">
        <v>6.2296716994363892E-2</v>
      </c>
      <c r="I520" s="18">
        <v>6.9287224162627448E-2</v>
      </c>
      <c r="K520" s="18">
        <v>17.618532180786133</v>
      </c>
      <c r="L520" s="18">
        <v>8.1852158082320714E-2</v>
      </c>
      <c r="M520" s="18">
        <v>0.10016282092758515</v>
      </c>
    </row>
    <row r="521" spans="2:13">
      <c r="B521" s="18">
        <v>510</v>
      </c>
      <c r="C521" s="18">
        <v>8921.7090000000007</v>
      </c>
      <c r="D521" s="18">
        <v>1.0062260966228055E-3</v>
      </c>
      <c r="E521" s="18">
        <v>8.7299866978892543E-4</v>
      </c>
      <c r="G521" s="18">
        <v>14009.204</v>
      </c>
      <c r="H521" s="18">
        <v>6.10893739626929E-2</v>
      </c>
      <c r="I521" s="18">
        <v>6.406395836508616E-2</v>
      </c>
      <c r="K521" s="18">
        <v>17.651998519897461</v>
      </c>
      <c r="L521" s="18">
        <v>7.835536744936944E-2</v>
      </c>
      <c r="M521" s="18">
        <v>9.4062971119763916E-2</v>
      </c>
    </row>
    <row r="522" spans="2:13">
      <c r="B522" s="18">
        <v>511</v>
      </c>
      <c r="C522" s="18">
        <v>8923.5460000000003</v>
      </c>
      <c r="D522" s="18">
        <v>8.6823205339715674E-4</v>
      </c>
      <c r="E522" s="18">
        <v>8.6354083681036741E-4</v>
      </c>
      <c r="G522" s="18">
        <v>14011.986000000001</v>
      </c>
      <c r="H522" s="18">
        <v>5.8832443607456202E-2</v>
      </c>
      <c r="I522" s="18">
        <v>6.3512413694379183E-2</v>
      </c>
      <c r="K522" s="18">
        <v>17.664535522460938</v>
      </c>
      <c r="L522" s="18">
        <v>7.6098437094132748E-2</v>
      </c>
      <c r="M522" s="18">
        <v>9.1836879962453599E-2</v>
      </c>
    </row>
    <row r="523" spans="2:13">
      <c r="B523" s="18">
        <v>512</v>
      </c>
      <c r="C523" s="18">
        <v>8924.4150000000009</v>
      </c>
      <c r="D523" s="18">
        <v>8.6006899290176826E-4</v>
      </c>
      <c r="E523" s="18">
        <v>8.5909804853779345E-4</v>
      </c>
      <c r="G523" s="18">
        <v>14041.137000000001</v>
      </c>
      <c r="H523" s="18">
        <v>5.5335652974504927E-2</v>
      </c>
      <c r="I523" s="18">
        <v>5.7921642237984489E-2</v>
      </c>
      <c r="K523" s="18">
        <v>17.673797607421875</v>
      </c>
      <c r="L523" s="18">
        <v>7.3841506738896057E-2</v>
      </c>
      <c r="M523" s="18">
        <v>9.0212998954912249E-2</v>
      </c>
    </row>
    <row r="524" spans="2:13">
      <c r="B524" s="18">
        <v>513</v>
      </c>
      <c r="C524" s="18">
        <v>8948.5750000000007</v>
      </c>
      <c r="D524" s="18">
        <v>8.5190593240637978E-4</v>
      </c>
      <c r="E524" s="18">
        <v>7.4331792845395474E-4</v>
      </c>
      <c r="G524" s="18">
        <v>14068.915000000001</v>
      </c>
      <c r="H524" s="18">
        <v>5.3078722619268229E-2</v>
      </c>
      <c r="I524" s="18">
        <v>5.2911234313623809E-2</v>
      </c>
      <c r="K524" s="18">
        <v>17.68333625793457</v>
      </c>
      <c r="L524" s="18">
        <v>7.1584576383659365E-2</v>
      </c>
      <c r="M524" s="18">
        <v>8.8559044076633106E-2</v>
      </c>
    </row>
    <row r="525" spans="2:13">
      <c r="B525" s="18">
        <v>514</v>
      </c>
      <c r="C525" s="18">
        <v>8978.2309999999998</v>
      </c>
      <c r="D525" s="18">
        <v>8.437428719109913E-4</v>
      </c>
      <c r="E525" s="18">
        <v>6.2006335955106906E-4</v>
      </c>
      <c r="G525" s="18">
        <v>14102.029</v>
      </c>
      <c r="H525" s="18">
        <v>5.082179226403153E-2</v>
      </c>
      <c r="I525" s="18">
        <v>4.7335147446483289E-2</v>
      </c>
      <c r="K525" s="18">
        <v>17.684995651245117</v>
      </c>
      <c r="L525" s="18">
        <v>6.8087785750708091E-2</v>
      </c>
      <c r="M525" s="18">
        <v>8.8273222713353944E-2</v>
      </c>
    </row>
    <row r="526" spans="2:13">
      <c r="B526" s="18">
        <v>515</v>
      </c>
      <c r="C526" s="18">
        <v>8987.5910000000003</v>
      </c>
      <c r="D526" s="18">
        <v>7.9921198410810466E-4</v>
      </c>
      <c r="E526" s="18">
        <v>5.8508731734016389E-4</v>
      </c>
      <c r="G526" s="18">
        <v>14104.397999999999</v>
      </c>
      <c r="H526" s="18">
        <v>4.9614449232360538E-2</v>
      </c>
      <c r="I526" s="18">
        <v>4.6952520192479773E-2</v>
      </c>
      <c r="K526" s="18">
        <v>17.689922332763672</v>
      </c>
      <c r="L526" s="18">
        <v>6.6880442719037092E-2</v>
      </c>
      <c r="M526" s="18">
        <v>8.742796411180967E-2</v>
      </c>
    </row>
    <row r="527" spans="2:13">
      <c r="B527" s="18">
        <v>516</v>
      </c>
      <c r="C527" s="18">
        <v>8991.6389999999992</v>
      </c>
      <c r="D527" s="18">
        <v>7.9104892361271618E-4</v>
      </c>
      <c r="E527" s="18">
        <v>5.7050697752525175E-4</v>
      </c>
      <c r="G527" s="18">
        <v>14106.683999999999</v>
      </c>
      <c r="H527" s="18">
        <v>4.8407106200689547E-2</v>
      </c>
      <c r="I527" s="18">
        <v>4.6585340128051572E-2</v>
      </c>
      <c r="K527" s="18">
        <v>17.710783004760742</v>
      </c>
      <c r="L527" s="18">
        <v>6.4623512363800401E-2</v>
      </c>
      <c r="M527" s="18">
        <v>8.3904269234127651E-2</v>
      </c>
    </row>
    <row r="528" spans="2:13">
      <c r="B528" s="18">
        <v>517</v>
      </c>
      <c r="C528" s="18">
        <v>8994.1530000000002</v>
      </c>
      <c r="D528" s="18">
        <v>7.4651803580982955E-4</v>
      </c>
      <c r="E528" s="18">
        <v>5.6161383292891256E-4</v>
      </c>
      <c r="G528" s="18">
        <v>14111.575999999999</v>
      </c>
      <c r="H528" s="18">
        <v>4.6150175845452848E-2</v>
      </c>
      <c r="I528" s="18">
        <v>4.5806299704998478E-2</v>
      </c>
      <c r="K528" s="18">
        <v>17.713069915771484</v>
      </c>
      <c r="L528" s="18">
        <v>6.2366582008563702E-2</v>
      </c>
      <c r="M528" s="18">
        <v>8.3523419561887732E-2</v>
      </c>
    </row>
    <row r="529" spans="2:13">
      <c r="B529" s="18">
        <v>518</v>
      </c>
      <c r="C529" s="18">
        <v>9023.4920000000002</v>
      </c>
      <c r="D529" s="18">
        <v>7.0198714800694291E-4</v>
      </c>
      <c r="E529" s="18">
        <v>4.6650771395382917E-4</v>
      </c>
      <c r="G529" s="18">
        <v>14113.544</v>
      </c>
      <c r="H529" s="18">
        <v>4.4942832813781856E-2</v>
      </c>
      <c r="I529" s="18">
        <v>4.5495476218044707E-2</v>
      </c>
      <c r="K529" s="18">
        <v>17.713956832885742</v>
      </c>
      <c r="L529" s="18">
        <v>6.115923897689271E-2</v>
      </c>
      <c r="M529" s="18">
        <v>8.3376006838186426E-2</v>
      </c>
    </row>
    <row r="530" spans="2:13">
      <c r="B530" s="18">
        <v>519</v>
      </c>
      <c r="C530" s="18">
        <v>9028.2540000000008</v>
      </c>
      <c r="D530" s="18">
        <v>6.9382408751155443E-4</v>
      </c>
      <c r="E530" s="18">
        <v>4.5249473292879628E-4</v>
      </c>
      <c r="G530" s="18">
        <v>14121.445</v>
      </c>
      <c r="H530" s="18">
        <v>4.2685902458545158E-2</v>
      </c>
      <c r="I530" s="18">
        <v>4.4262417382302022E-2</v>
      </c>
      <c r="K530" s="18">
        <v>17.735492706298828</v>
      </c>
      <c r="L530" s="18">
        <v>5.8902308621656012E-2</v>
      </c>
      <c r="M530" s="18">
        <v>7.9846251460507542E-2</v>
      </c>
    </row>
    <row r="531" spans="2:13">
      <c r="B531" s="18">
        <v>520</v>
      </c>
      <c r="C531" s="18">
        <v>9029.0239999999994</v>
      </c>
      <c r="D531" s="18">
        <v>6.8566102701616595E-4</v>
      </c>
      <c r="E531" s="18">
        <v>4.502641850147601E-4</v>
      </c>
      <c r="G531" s="18">
        <v>14158.686</v>
      </c>
      <c r="H531" s="18">
        <v>4.1478559426874166E-2</v>
      </c>
      <c r="I531" s="18">
        <v>3.8765193427769566E-2</v>
      </c>
      <c r="K531" s="18">
        <v>17.767147064208984</v>
      </c>
      <c r="L531" s="18">
        <v>5.769496558998502E-2</v>
      </c>
      <c r="M531" s="18">
        <v>7.4831161132899573E-2</v>
      </c>
    </row>
    <row r="532" spans="2:13">
      <c r="B532" s="18">
        <v>521</v>
      </c>
      <c r="C532" s="18">
        <v>9030.8670000000002</v>
      </c>
      <c r="D532" s="18">
        <v>5.4766698379051719E-4</v>
      </c>
      <c r="E532" s="18">
        <v>4.4496479852912922E-4</v>
      </c>
      <c r="G532" s="18">
        <v>14175.526</v>
      </c>
      <c r="H532" s="18">
        <v>3.9221629071637468E-2</v>
      </c>
      <c r="I532" s="18">
        <v>3.6446373384660197E-2</v>
      </c>
      <c r="K532" s="18">
        <v>17.768043518066406</v>
      </c>
      <c r="L532" s="18">
        <v>5.4198174957033746E-2</v>
      </c>
      <c r="M532" s="18">
        <v>7.4692129617884795E-2</v>
      </c>
    </row>
    <row r="533" spans="2:13">
      <c r="B533" s="18">
        <v>522</v>
      </c>
      <c r="C533" s="18">
        <v>9033.1540000000005</v>
      </c>
      <c r="D533" s="18">
        <v>5.3950392329512871E-4</v>
      </c>
      <c r="E533" s="18">
        <v>4.3846548444606066E-4</v>
      </c>
      <c r="G533" s="18">
        <v>14176.802</v>
      </c>
      <c r="H533" s="18">
        <v>3.8014286039966476E-2</v>
      </c>
      <c r="I533" s="18">
        <v>3.627482520622325E-2</v>
      </c>
      <c r="K533" s="18">
        <v>17.776773452758789</v>
      </c>
      <c r="L533" s="18">
        <v>5.1941244601797047E-2</v>
      </c>
      <c r="M533" s="18">
        <v>7.3346815995538564E-2</v>
      </c>
    </row>
    <row r="534" spans="2:13">
      <c r="B534" s="18">
        <v>523</v>
      </c>
      <c r="C534" s="18">
        <v>9044.866</v>
      </c>
      <c r="D534" s="18">
        <v>4.9497303549224207E-4</v>
      </c>
      <c r="E534" s="18">
        <v>4.0648050816387152E-4</v>
      </c>
      <c r="G534" s="18">
        <v>14187.924999999999</v>
      </c>
      <c r="H534" s="18">
        <v>3.6806943008295484E-2</v>
      </c>
      <c r="I534" s="18">
        <v>3.4803924482523278E-2</v>
      </c>
      <c r="K534" s="18">
        <v>17.790487289428711</v>
      </c>
      <c r="L534" s="18">
        <v>4.9684314246560349E-2</v>
      </c>
      <c r="M534" s="18">
        <v>7.1264991432972657E-2</v>
      </c>
    </row>
    <row r="535" spans="2:13">
      <c r="B535" s="18">
        <v>524</v>
      </c>
      <c r="C535" s="18">
        <v>9045.8349999999991</v>
      </c>
      <c r="D535" s="18">
        <v>4.5044214768935538E-4</v>
      </c>
      <c r="E535" s="18">
        <v>4.0392920942699005E-4</v>
      </c>
      <c r="G535" s="18">
        <v>14200.424999999999</v>
      </c>
      <c r="H535" s="18">
        <v>3.4550012653058786E-2</v>
      </c>
      <c r="I535" s="18">
        <v>3.3202858646541891E-2</v>
      </c>
      <c r="K535" s="18">
        <v>17.808994293212891</v>
      </c>
      <c r="L535" s="18">
        <v>4.742738389132365E-2</v>
      </c>
      <c r="M535" s="18">
        <v>6.8516488589848296E-2</v>
      </c>
    </row>
    <row r="536" spans="2:13">
      <c r="B536" s="18">
        <v>525</v>
      </c>
      <c r="C536" s="18">
        <v>9076.3490000000002</v>
      </c>
      <c r="D536" s="18">
        <v>4.0591125988646869E-4</v>
      </c>
      <c r="E536" s="18">
        <v>3.3051012707386072E-4</v>
      </c>
      <c r="G536" s="18">
        <v>14229.489</v>
      </c>
      <c r="H536" s="18">
        <v>3.2293082297822087E-2</v>
      </c>
      <c r="I536" s="18">
        <v>2.9687911386206394E-2</v>
      </c>
      <c r="K536" s="18">
        <v>17.856847763061523</v>
      </c>
      <c r="L536" s="18">
        <v>4.5170453536086952E-2</v>
      </c>
      <c r="M536" s="18">
        <v>6.1732476705589033E-2</v>
      </c>
    </row>
    <row r="537" spans="2:13">
      <c r="B537" s="18">
        <v>526</v>
      </c>
      <c r="C537" s="18">
        <v>9080.48</v>
      </c>
      <c r="D537" s="18">
        <v>2.6791721666081998E-4</v>
      </c>
      <c r="E537" s="18">
        <v>3.2154256999521186E-4</v>
      </c>
      <c r="G537" s="18">
        <v>14229.653</v>
      </c>
      <c r="H537" s="18">
        <v>3.0036151942585389E-2</v>
      </c>
      <c r="I537" s="18">
        <v>2.9668886478148825E-2</v>
      </c>
      <c r="K537" s="18">
        <v>17.873260498046875</v>
      </c>
      <c r="L537" s="18">
        <v>4.1673662903135678E-2</v>
      </c>
      <c r="M537" s="18">
        <v>5.9512147251164507E-2</v>
      </c>
    </row>
    <row r="538" spans="2:13">
      <c r="B538" s="18">
        <v>527</v>
      </c>
      <c r="C538" s="18">
        <v>9090.8520000000008</v>
      </c>
      <c r="D538" s="18">
        <v>2.597541561654315E-4</v>
      </c>
      <c r="E538" s="18">
        <v>2.9997348307385022E-4</v>
      </c>
      <c r="G538" s="18">
        <v>14240.563</v>
      </c>
      <c r="H538" s="18">
        <v>2.777922158734869E-2</v>
      </c>
      <c r="I538" s="18">
        <v>2.8423274495394141E-2</v>
      </c>
      <c r="K538" s="18">
        <v>17.880325317382813</v>
      </c>
      <c r="L538" s="18">
        <v>3.8176872270184403E-2</v>
      </c>
      <c r="M538" s="18">
        <v>5.8573027095680269E-2</v>
      </c>
    </row>
    <row r="539" spans="2:13">
      <c r="B539" s="18">
        <v>528</v>
      </c>
      <c r="C539" s="18">
        <v>9091.0229999999992</v>
      </c>
      <c r="D539" s="18">
        <v>2.5159109567004302E-4</v>
      </c>
      <c r="E539" s="18">
        <v>2.9962894243194951E-4</v>
      </c>
      <c r="G539" s="18">
        <v>14250.416999999999</v>
      </c>
      <c r="H539" s="18">
        <v>2.4282430954397416E-2</v>
      </c>
      <c r="I539" s="18">
        <v>2.7331767754279517E-2</v>
      </c>
      <c r="K539" s="18">
        <v>17.929155349731445</v>
      </c>
      <c r="L539" s="18">
        <v>3.5919941914947705E-2</v>
      </c>
      <c r="M539" s="18">
        <v>5.2353018259782391E-2</v>
      </c>
    </row>
    <row r="540" spans="2:13">
      <c r="B540" s="18">
        <v>529</v>
      </c>
      <c r="C540" s="18">
        <v>9092.2489999999998</v>
      </c>
      <c r="D540" s="18">
        <v>2.0706020786715634E-4</v>
      </c>
      <c r="E540" s="18">
        <v>2.9716902614651937E-4</v>
      </c>
      <c r="G540" s="18">
        <v>14266.257</v>
      </c>
      <c r="H540" s="18">
        <v>2.2025500599160718E-2</v>
      </c>
      <c r="I540" s="18">
        <v>2.564270025775299E-2</v>
      </c>
      <c r="K540" s="18">
        <v>17.950204849243164</v>
      </c>
      <c r="L540" s="18">
        <v>3.242315128199643E-2</v>
      </c>
      <c r="M540" s="18">
        <v>4.9816121572944731E-2</v>
      </c>
    </row>
    <row r="541" spans="2:13">
      <c r="B541" s="18">
        <v>530</v>
      </c>
      <c r="C541" s="18">
        <v>9092.8179999999993</v>
      </c>
      <c r="D541" s="18">
        <v>1.9889714737176786E-4</v>
      </c>
      <c r="E541" s="18">
        <v>2.9603347313205747E-4</v>
      </c>
      <c r="G541" s="18">
        <v>14285.103999999999</v>
      </c>
      <c r="H541" s="18">
        <v>2.0818157567489726E-2</v>
      </c>
      <c r="I541" s="18">
        <v>2.3735753763173606E-2</v>
      </c>
      <c r="K541" s="18">
        <v>17.95867919921875</v>
      </c>
      <c r="L541" s="18">
        <v>2.8926360649045156E-2</v>
      </c>
      <c r="M541" s="18">
        <v>4.881904494615865E-2</v>
      </c>
    </row>
    <row r="542" spans="2:13">
      <c r="B542" s="18">
        <v>531</v>
      </c>
      <c r="C542" s="18">
        <v>9102.1749999999993</v>
      </c>
      <c r="D542" s="18">
        <v>1.5436625956888117E-4</v>
      </c>
      <c r="E542" s="18">
        <v>2.7790579205185846E-4</v>
      </c>
      <c r="G542" s="18">
        <v>14321.803</v>
      </c>
      <c r="H542" s="18">
        <v>1.8561227212253027E-2</v>
      </c>
      <c r="I542" s="18">
        <v>2.0330444348674735E-2</v>
      </c>
      <c r="K542" s="18">
        <v>17.976537704467773</v>
      </c>
      <c r="L542" s="18">
        <v>2.6669430293808458E-2</v>
      </c>
      <c r="M542" s="18">
        <v>4.6763055010261068E-2</v>
      </c>
    </row>
    <row r="543" spans="2:13">
      <c r="B543" s="18">
        <v>532</v>
      </c>
      <c r="C543" s="18">
        <v>9108.5079999999998</v>
      </c>
      <c r="D543" s="18">
        <v>1.0983537176599448E-4</v>
      </c>
      <c r="E543" s="18">
        <v>2.6620470124669128E-4</v>
      </c>
      <c r="G543" s="18">
        <v>14321.838</v>
      </c>
      <c r="H543" s="18">
        <v>1.7353884180582035E-2</v>
      </c>
      <c r="I543" s="18">
        <v>2.0327384604510765E-2</v>
      </c>
      <c r="K543" s="18">
        <v>17.995716094970703</v>
      </c>
      <c r="L543" s="18">
        <v>2.4412499938571759E-2</v>
      </c>
      <c r="M543" s="18">
        <v>4.4622807534139858E-2</v>
      </c>
    </row>
    <row r="544" spans="2:13">
      <c r="B544" s="18">
        <v>533</v>
      </c>
      <c r="C544" s="18">
        <v>9120.7669999999998</v>
      </c>
      <c r="D544" s="18">
        <v>6.5304483963107786E-5</v>
      </c>
      <c r="E544" s="18">
        <v>2.4479576053695114E-4</v>
      </c>
      <c r="G544" s="18">
        <v>14358.088</v>
      </c>
      <c r="H544" s="18">
        <v>1.5096953825345339E-2</v>
      </c>
      <c r="I544" s="18">
        <v>1.7341980735435719E-2</v>
      </c>
      <c r="K544" s="18">
        <v>18.024124145507813</v>
      </c>
      <c r="L544" s="18">
        <v>2.0915709305620485E-2</v>
      </c>
      <c r="M544" s="18">
        <v>4.1579683086218198E-2</v>
      </c>
    </row>
    <row r="545" spans="2:13">
      <c r="B545" s="18">
        <v>534</v>
      </c>
      <c r="C545" s="18">
        <v>9148.0249999999996</v>
      </c>
      <c r="D545" s="18">
        <v>5.7141423467719313E-5</v>
      </c>
      <c r="E545" s="18">
        <v>2.0260718256920953E-4</v>
      </c>
      <c r="G545" s="18">
        <v>14429.593000000001</v>
      </c>
      <c r="H545" s="18">
        <v>1.1600163192394063E-2</v>
      </c>
      <c r="I545" s="18">
        <v>1.2452424869795517E-2</v>
      </c>
      <c r="K545" s="18">
        <v>18.089437484741211</v>
      </c>
      <c r="L545" s="18">
        <v>1.7418918672669211E-2</v>
      </c>
      <c r="M545" s="18">
        <v>3.5144113619301219E-2</v>
      </c>
    </row>
    <row r="546" spans="2:13">
      <c r="B546" s="18">
        <v>535</v>
      </c>
      <c r="C546" s="18">
        <v>9156.7540000000008</v>
      </c>
      <c r="D546" s="18">
        <v>4.8978362972330839E-5</v>
      </c>
      <c r="E546" s="18">
        <v>1.9054517199199993E-4</v>
      </c>
      <c r="G546" s="18">
        <v>14453.948</v>
      </c>
      <c r="H546" s="18">
        <v>1.0392820160723071E-2</v>
      </c>
      <c r="I546" s="18">
        <v>1.1061230937496631E-2</v>
      </c>
      <c r="K546" s="18">
        <v>18.10212516784668</v>
      </c>
      <c r="L546" s="18">
        <v>1.516198831743251E-2</v>
      </c>
      <c r="M546" s="18">
        <v>3.3982211565303219E-2</v>
      </c>
    </row>
    <row r="547" spans="2:13">
      <c r="B547" s="18">
        <v>536</v>
      </c>
      <c r="C547" s="18">
        <v>9182.3259999999991</v>
      </c>
      <c r="D547" s="18">
        <v>4.0815302476942366E-5</v>
      </c>
      <c r="E547" s="18">
        <v>1.5882384039024496E-4</v>
      </c>
      <c r="G547" s="18">
        <v>14464.554</v>
      </c>
      <c r="H547" s="18">
        <v>9.185477129052079E-3</v>
      </c>
      <c r="I547" s="18">
        <v>1.0495294409399681E-2</v>
      </c>
      <c r="K547" s="18">
        <v>18.276350021362305</v>
      </c>
      <c r="L547" s="18">
        <v>1.3954645285761519E-2</v>
      </c>
      <c r="M547" s="18">
        <v>2.0715343235029122E-2</v>
      </c>
    </row>
    <row r="548" spans="2:13">
      <c r="B548" s="18">
        <v>537</v>
      </c>
      <c r="C548" s="18">
        <v>9188.33</v>
      </c>
      <c r="D548" s="18">
        <v>3.2652241981553893E-5</v>
      </c>
      <c r="E548" s="18">
        <v>1.5210110120228968E-4</v>
      </c>
      <c r="G548" s="18">
        <v>14468.62</v>
      </c>
      <c r="H548" s="18">
        <v>6.9285467738153814E-3</v>
      </c>
      <c r="I548" s="18">
        <v>1.0284536854282371E-2</v>
      </c>
      <c r="K548" s="18">
        <v>18.315929412841797</v>
      </c>
      <c r="L548" s="18">
        <v>1.0457854652810242E-2</v>
      </c>
      <c r="M548" s="18">
        <v>1.8344241410776781E-2</v>
      </c>
    </row>
    <row r="549" spans="2:13">
      <c r="B549" s="18">
        <v>538</v>
      </c>
      <c r="C549" s="18">
        <v>9238.6239999999998</v>
      </c>
      <c r="D549" s="18">
        <v>2.448918148616542E-5</v>
      </c>
      <c r="E549" s="18">
        <v>1.0507744611455007E-4</v>
      </c>
      <c r="G549" s="18">
        <v>14474.132</v>
      </c>
      <c r="H549" s="18">
        <v>4.671616418578683E-3</v>
      </c>
      <c r="I549" s="18">
        <v>1.000422033233099E-2</v>
      </c>
      <c r="K549" s="18">
        <v>18.453567504882813</v>
      </c>
      <c r="L549" s="18">
        <v>8.200924297573544E-3</v>
      </c>
      <c r="M549" s="18">
        <v>1.1682824938437029E-2</v>
      </c>
    </row>
    <row r="550" spans="2:13">
      <c r="B550" s="18">
        <v>539</v>
      </c>
      <c r="C550" s="18">
        <v>9340.0630000000001</v>
      </c>
      <c r="D550" s="18">
        <v>1.6326120990776946E-5</v>
      </c>
      <c r="E550" s="18">
        <v>4.776452257531669E-5</v>
      </c>
      <c r="G550" s="18">
        <v>14495.945</v>
      </c>
      <c r="H550" s="18">
        <v>3.4642733869076907E-3</v>
      </c>
      <c r="I550" s="18">
        <v>8.954093190626889E-3</v>
      </c>
      <c r="K550" s="18">
        <v>18.844717025756836</v>
      </c>
      <c r="L550" s="18">
        <v>4.7041336646222679E-3</v>
      </c>
      <c r="M550" s="18">
        <v>2.460868910428864E-3</v>
      </c>
    </row>
    <row r="551" spans="2:13">
      <c r="B551" s="18">
        <v>540</v>
      </c>
      <c r="C551" s="18">
        <v>9555.4750000000004</v>
      </c>
      <c r="D551" s="18">
        <v>8.1630604953884732E-6</v>
      </c>
      <c r="E551" s="18">
        <v>7.3038898622064468E-6</v>
      </c>
      <c r="G551" s="18">
        <v>15034.82</v>
      </c>
      <c r="H551" s="18">
        <v>1.2073430316709923E-3</v>
      </c>
      <c r="I551" s="18">
        <v>2.2662612262573035E-4</v>
      </c>
      <c r="K551" s="18">
        <v>18.902776718139648</v>
      </c>
      <c r="L551" s="18">
        <v>3.4967906329512756E-3</v>
      </c>
      <c r="M551" s="18">
        <v>1.8770713395855586E-3</v>
      </c>
    </row>
    <row r="552" spans="2:13">
      <c r="C552" s="18">
        <v>9839.358405149329</v>
      </c>
      <c r="E552" s="18">
        <v>3.8051750380517503E-7</v>
      </c>
      <c r="G552" s="18">
        <v>15584.22696284574</v>
      </c>
      <c r="I552" s="18">
        <v>3.8051750380517503E-7</v>
      </c>
      <c r="K552" s="18">
        <v>20.061472831172662</v>
      </c>
      <c r="M552" s="18">
        <v>3.8051750380517503E-7</v>
      </c>
    </row>
  </sheetData>
  <mergeCells count="2">
    <mergeCell ref="J2:N2"/>
    <mergeCell ref="AB10:AD10"/>
  </mergeCells>
  <phoneticPr fontId="1" type="noConversion"/>
  <conditionalFormatting sqref="L7:N7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5</xdr:col>
                <xdr:colOff>209550</xdr:colOff>
                <xdr:row>4</xdr:row>
                <xdr:rowOff>28575</xdr:rowOff>
              </from>
              <to>
                <xdr:col>7</xdr:col>
                <xdr:colOff>190500</xdr:colOff>
                <xdr:row>5</xdr:row>
                <xdr:rowOff>209550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0"/>
  <sheetViews>
    <sheetView topLeftCell="B1" workbookViewId="0">
      <selection activeCell="F25" sqref="F25"/>
    </sheetView>
  </sheetViews>
  <sheetFormatPr defaultRowHeight="15"/>
  <cols>
    <col min="1" max="1" width="9" style="1"/>
    <col min="2" max="2" width="12.140625" customWidth="1"/>
    <col min="3" max="3" width="13.42578125" customWidth="1"/>
    <col min="5" max="5" width="3.7109375" style="1" customWidth="1"/>
    <col min="6" max="6" width="71.7109375" customWidth="1"/>
  </cols>
  <sheetData>
    <row r="1" spans="2:6" s="1" customFormat="1" ht="15.75" thickBot="1"/>
    <row r="2" spans="2:6">
      <c r="B2" s="10" t="s">
        <v>30</v>
      </c>
      <c r="C2" s="11" t="s">
        <v>31</v>
      </c>
      <c r="D2" s="11" t="s">
        <v>32</v>
      </c>
      <c r="E2" s="11"/>
      <c r="F2" s="12" t="s">
        <v>33</v>
      </c>
    </row>
    <row r="3" spans="2:6">
      <c r="B3" s="8" t="s">
        <v>29</v>
      </c>
      <c r="C3" s="9" t="s">
        <v>27</v>
      </c>
      <c r="D3" s="9" t="s">
        <v>28</v>
      </c>
      <c r="E3" s="9">
        <v>1</v>
      </c>
      <c r="F3" s="7" t="s">
        <v>90</v>
      </c>
    </row>
    <row r="4" spans="2:6">
      <c r="B4" s="8"/>
      <c r="C4" s="9"/>
      <c r="D4" s="9"/>
      <c r="E4" s="9">
        <v>2</v>
      </c>
      <c r="F4" s="7" t="s">
        <v>91</v>
      </c>
    </row>
    <row r="5" spans="2:6">
      <c r="B5" s="8"/>
      <c r="C5" s="9"/>
      <c r="D5" s="9"/>
      <c r="E5" s="9">
        <v>3</v>
      </c>
      <c r="F5" s="7" t="s">
        <v>92</v>
      </c>
    </row>
    <row r="6" spans="2:6" ht="15.75" thickBot="1">
      <c r="B6" s="13"/>
      <c r="C6" s="14"/>
      <c r="D6" s="14"/>
      <c r="E6" s="14">
        <v>4</v>
      </c>
      <c r="F6" s="6" t="s">
        <v>93</v>
      </c>
    </row>
    <row r="7" spans="2:6" s="1" customFormat="1" ht="24.75" customHeight="1">
      <c r="B7" s="147"/>
      <c r="C7" s="148"/>
      <c r="D7" s="148"/>
      <c r="E7" s="148"/>
      <c r="F7" s="149" t="s">
        <v>102</v>
      </c>
    </row>
    <row r="8" spans="2:6" s="1" customFormat="1" ht="16.899999999999999" customHeight="1">
      <c r="B8" s="8" t="s">
        <v>99</v>
      </c>
      <c r="C8" s="9" t="s">
        <v>101</v>
      </c>
      <c r="D8" s="9" t="s">
        <v>34</v>
      </c>
      <c r="E8" s="146">
        <v>1</v>
      </c>
      <c r="F8" s="7" t="s">
        <v>89</v>
      </c>
    </row>
    <row r="9" spans="2:6" s="1" customFormat="1" ht="16.899999999999999" customHeight="1">
      <c r="B9" s="8"/>
      <c r="C9" s="9"/>
      <c r="D9" s="9"/>
      <c r="E9" s="146">
        <v>2</v>
      </c>
      <c r="F9" s="7" t="s">
        <v>97</v>
      </c>
    </row>
    <row r="10" spans="2:6" s="1" customFormat="1" ht="17.45" customHeight="1">
      <c r="B10" s="8"/>
      <c r="C10" s="9"/>
      <c r="D10" s="9"/>
      <c r="E10" s="146">
        <v>3</v>
      </c>
      <c r="F10" s="7" t="s">
        <v>94</v>
      </c>
    </row>
    <row r="11" spans="2:6" s="1" customFormat="1" ht="34.5" customHeight="1">
      <c r="B11" s="8"/>
      <c r="C11" s="9"/>
      <c r="D11" s="9"/>
      <c r="E11" s="146">
        <v>4</v>
      </c>
      <c r="F11" s="53" t="s">
        <v>95</v>
      </c>
    </row>
    <row r="12" spans="2:6" s="1" customFormat="1" ht="36" customHeight="1">
      <c r="B12" s="8"/>
      <c r="C12" s="9"/>
      <c r="D12" s="9"/>
      <c r="E12" s="146">
        <v>5</v>
      </c>
      <c r="F12" s="53" t="s">
        <v>100</v>
      </c>
    </row>
    <row r="13" spans="2:6" s="1" customFormat="1" ht="24.75" customHeight="1">
      <c r="B13" s="8"/>
      <c r="C13" s="9"/>
      <c r="D13" s="9"/>
      <c r="E13" s="146">
        <v>6</v>
      </c>
      <c r="F13" s="15" t="s">
        <v>96</v>
      </c>
    </row>
    <row r="14" spans="2:6" ht="24.75" customHeight="1">
      <c r="B14" s="8"/>
      <c r="C14" s="9"/>
      <c r="D14" s="9"/>
      <c r="E14" s="146">
        <v>7</v>
      </c>
      <c r="F14" s="15" t="s">
        <v>98</v>
      </c>
    </row>
    <row r="15" spans="2:6" ht="15.75" thickBot="1">
      <c r="B15" s="13"/>
      <c r="C15" s="14"/>
      <c r="D15" s="14"/>
      <c r="E15" s="14"/>
      <c r="F15" s="150"/>
    </row>
    <row r="16" spans="2:6">
      <c r="C16" t="s">
        <v>103</v>
      </c>
      <c r="F16" s="28" t="s">
        <v>104</v>
      </c>
    </row>
    <row r="17" spans="3:6">
      <c r="F17" s="16"/>
    </row>
    <row r="18" spans="3:6">
      <c r="C18" t="s">
        <v>117</v>
      </c>
      <c r="D18" t="s">
        <v>118</v>
      </c>
      <c r="F18" s="17" t="s">
        <v>119</v>
      </c>
    </row>
    <row r="19" spans="3:6">
      <c r="F19" s="17"/>
    </row>
    <row r="20" spans="3:6">
      <c r="F20" s="17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Raw Data</vt:lpstr>
      <vt:lpstr>Conv</vt:lpstr>
      <vt:lpstr>Wind</vt:lpstr>
      <vt:lpstr>Extrapolation</vt:lpstr>
      <vt:lpstr>Log</vt:lpstr>
      <vt:lpstr>all_1</vt:lpstr>
      <vt:lpstr>all_2</vt:lpstr>
      <vt:lpstr>alpha</vt:lpstr>
      <vt:lpstr>bin</vt:lpstr>
      <vt:lpstr>bout</vt:lpstr>
      <vt:lpstr>conv_1</vt:lpstr>
      <vt:lpstr>Dx_thre</vt:lpstr>
      <vt:lpstr>m</vt:lpstr>
      <vt:lpstr>max3_1</vt:lpstr>
      <vt:lpstr>Mx_thre</vt:lpstr>
      <vt:lpstr>My_thre</vt:lpstr>
      <vt:lpstr>p</vt:lpstr>
      <vt:lpstr>p_3</vt:lpstr>
      <vt:lpstr>para_1</vt:lpstr>
      <vt:lpstr>pro_1</vt:lpstr>
      <vt:lpstr>pro_2</vt:lpstr>
      <vt:lpstr>rank_1</vt:lpstr>
      <vt:lpstr>rawdata_0</vt:lpstr>
      <vt:lpstr>rawdata_1</vt:lpstr>
      <vt:lpstr>result_1</vt:lpstr>
      <vt:lpstr>rxy_1</vt:lpstr>
      <vt:lpstr>safety</vt:lpstr>
      <vt:lpstr>set_thre</vt:lpstr>
      <vt:lpstr>threthod_1</vt:lpstr>
      <vt:lpstr>usk_1</vt:lpstr>
      <vt:lpstr>vave</vt:lpstr>
      <vt:lpstr>vsp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陈恩</cp:lastModifiedBy>
  <dcterms:created xsi:type="dcterms:W3CDTF">2006-09-13T11:21:51Z</dcterms:created>
  <dcterms:modified xsi:type="dcterms:W3CDTF">2021-01-19T01:12:59Z</dcterms:modified>
</cp:coreProperties>
</file>